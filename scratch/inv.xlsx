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ịch kiểm kê 2025" sheetId="1" r:id="rId5"/>
    <sheet state="visible" name="Lịch Kiểm kê 2026" sheetId="2" r:id="rId6"/>
    <sheet state="visible" name="GSM T4.2026" sheetId="3" r:id="rId7"/>
    <sheet state="visible" name="Timeline phối hợp " sheetId="4" r:id="rId8"/>
    <sheet state="hidden" name="Sheet6" sheetId="5" r:id="rId9"/>
    <sheet state="hidden" name="Thay đổi" sheetId="6" r:id="rId10"/>
  </sheets>
  <definedNames>
    <definedName hidden="1" localSheetId="1" name="_xlnm._FilterDatabase">'Lịch Kiểm kê 2026'!$A$9:$Z$187</definedName>
  </definedNames>
  <calcPr/>
</workbook>
</file>

<file path=xl/sharedStrings.xml><?xml version="1.0" encoding="utf-8"?>
<sst xmlns="http://schemas.openxmlformats.org/spreadsheetml/2006/main" count="3737" uniqueCount="1235">
  <si>
    <t>LỊCH KIỂM KÊ TỔNG 2025</t>
  </si>
  <si>
    <t xml:space="preserve">GSM Báo đổi </t>
  </si>
  <si>
    <t>Thời gian: 01/04/2025 - 29/12/2025</t>
  </si>
  <si>
    <t xml:space="preserve">Thay đổi 7-10 ngày hiện tại =&gt; mới điều chỉnh kịp </t>
  </si>
  <si>
    <t>SDT IT hỗ trợ khi ST gặp sự cố trong lúc kiểm kê</t>
  </si>
  <si>
    <t xml:space="preserve">Ngô Quang Cẩm Tú </t>
  </si>
  <si>
    <t>0386446113</t>
  </si>
  <si>
    <t>DONE</t>
  </si>
  <si>
    <t xml:space="preserve">Hoàng Ngọc Long </t>
  </si>
  <si>
    <t>0981683801</t>
  </si>
  <si>
    <t xml:space="preserve"> </t>
  </si>
  <si>
    <t xml:space="preserve">Tô Thanh Vinh </t>
  </si>
  <si>
    <t>0877410295</t>
  </si>
  <si>
    <t xml:space="preserve">Nguyễn Thanh Tùng </t>
  </si>
  <si>
    <t>0367910431</t>
  </si>
  <si>
    <t xml:space="preserve">Nguyễn Xuân Hoánh </t>
  </si>
  <si>
    <t>0886485610</t>
  </si>
  <si>
    <t>Đã delete KK Daily</t>
  </si>
  <si>
    <t>Khang SOC</t>
  </si>
  <si>
    <t>GSM</t>
  </si>
  <si>
    <t>Dành cho các ST đã thực hiện kiểm kê bàn giao full 5 ngành hàng =&gt; điền ngày đã kiểm kê tương ứng vào bên dưới</t>
  </si>
  <si>
    <t>STT</t>
  </si>
  <si>
    <t>ID Mart</t>
  </si>
  <si>
    <t>KV</t>
  </si>
  <si>
    <t>Tên Siêu thị</t>
  </si>
  <si>
    <t>Ngày kiểm kê tổng</t>
  </si>
  <si>
    <t>Ngày kiểm Fresh food</t>
  </si>
  <si>
    <t>Ngày đổ phiếu tổng</t>
  </si>
  <si>
    <t>Ngưng kiểm kê Daily</t>
  </si>
  <si>
    <t>ADMIN NOTE</t>
  </si>
  <si>
    <t>Đã cài lịch kiểm kê</t>
  </si>
  <si>
    <t>Ngày đổ phiếu tổng thực tế</t>
  </si>
  <si>
    <t xml:space="preserve">Note thời gian Cần tắt ONL </t>
  </si>
  <si>
    <t>1.BAKERY AND DELICA</t>
  </si>
  <si>
    <t>1.CHILLED AND FROZEN</t>
  </si>
  <si>
    <t>1.DAIRY AND ICE CREAM</t>
  </si>
  <si>
    <t>1.FMCG</t>
  </si>
  <si>
    <t>1.FRESH FOOD</t>
  </si>
  <si>
    <t>Ngày kiểm Fresh food thực tê</t>
  </si>
  <si>
    <t xml:space="preserve">Bắt đầu Ngưng Kiểm kê Daily </t>
  </si>
  <si>
    <t xml:space="preserve">Kết Thúc Ngưng Kiểm kê Daily </t>
  </si>
  <si>
    <t>KFM_HCM_TDU - TMDV Citihome Cát Lái - MART</t>
  </si>
  <si>
    <t>12-09-25</t>
  </si>
  <si>
    <t>08/09 - 15/09</t>
  </si>
  <si>
    <t>X</t>
  </si>
  <si>
    <t>KFM_HCM_NBE - 166E Lê Văn Lương - MART</t>
  </si>
  <si>
    <t>01/09 - 09/09</t>
  </si>
  <si>
    <t>22/05/2025</t>
  </si>
  <si>
    <t>KFM_HCM_Q07 - E72 Phú Thuận - MINI</t>
  </si>
  <si>
    <t>01/09 - 11/09</t>
  </si>
  <si>
    <t>21/06/2025</t>
  </si>
  <si>
    <t>KFM_HCM_TDU - A1.04 Jamila Khang Điền - MINI</t>
  </si>
  <si>
    <t>08/09 - 17/09</t>
  </si>
  <si>
    <t>KFM_BDU_DAN - 01-06 TMDV Him Lam Phú Đông - MINI</t>
  </si>
  <si>
    <t>13/09 - 21/09</t>
  </si>
  <si>
    <t>15/05/2025</t>
  </si>
  <si>
    <t>KFM_HCM_Q06 - 126 Chợ Lớn - MINI</t>
  </si>
  <si>
    <t>22/09 - 02/10</t>
  </si>
  <si>
    <t>20/05/2025</t>
  </si>
  <si>
    <t>KFM_HCM_GVA - 410 Phan Huy Ích - MART</t>
  </si>
  <si>
    <t>30/11 - 7/12</t>
  </si>
  <si>
    <t>BÀN GIAO KHU VỰC GSM T11</t>
  </si>
  <si>
    <t>21//11/2025</t>
  </si>
  <si>
    <t>30/11/2025</t>
  </si>
  <si>
    <t>KFM_HCM_Q12 - 678 Nguyễn Văn Quá - MART</t>
  </si>
  <si>
    <t>1/12  - 7/12</t>
  </si>
  <si>
    <t xml:space="preserve">KK BÀN GIAO = KK TỔNG </t>
  </si>
  <si>
    <t>20/07/2025</t>
  </si>
  <si>
    <t>A115</t>
  </si>
  <si>
    <t>KFM_HCM_BTH - 484B Lê Quang Định - MINI</t>
  </si>
  <si>
    <t>30/11 - 07/12</t>
  </si>
  <si>
    <t xml:space="preserve">Gsm đề xuất </t>
  </si>
  <si>
    <t>20/10/2025</t>
  </si>
  <si>
    <t>26/10/2025</t>
  </si>
  <si>
    <t>A111</t>
  </si>
  <si>
    <t>KFM_HCM_TDU - BA-S03 New City - MINI</t>
  </si>
  <si>
    <t>27/11 - 05/12</t>
  </si>
  <si>
    <t>20/11/2025</t>
  </si>
  <si>
    <t>KFM_HCM_Q07 - SH16 Eco Green - MINI</t>
  </si>
  <si>
    <t>1/12 - 7//12</t>
  </si>
  <si>
    <t>15/10/2025</t>
  </si>
  <si>
    <t>23/10/2025</t>
  </si>
  <si>
    <t>A112</t>
  </si>
  <si>
    <t>KFM_HCM_Q01 - 93 Cô Giang - MINI</t>
  </si>
  <si>
    <t>01/12 -10/12</t>
  </si>
  <si>
    <t>KFM_HCM_Q07 - B0.02 Scenic Valley 2 - MINI</t>
  </si>
  <si>
    <t>7/12 - 14/12</t>
  </si>
  <si>
    <t>KFM_HCM_GVA - 371 Nguyễn Kiệm - MINI</t>
  </si>
  <si>
    <t>09/12 - 18/12</t>
  </si>
  <si>
    <t>13/11/2025</t>
  </si>
  <si>
    <t>A110</t>
  </si>
  <si>
    <t>KFM_HCM_Q10 - Jasmine 1 Hà Đô Centrosa - MART</t>
  </si>
  <si>
    <t>10/12 - 20/12</t>
  </si>
  <si>
    <t>A121</t>
  </si>
  <si>
    <t>KFM_HCM_Q06 - 123 Lý Chiêu Hoàng - MINI</t>
  </si>
  <si>
    <t>11/12 - 18/12</t>
  </si>
  <si>
    <t>A124</t>
  </si>
  <si>
    <t>KFM_HCM_TDU - 74 Đường Số 1 Chung Cư Sky 9 - MINI</t>
  </si>
  <si>
    <t>10/12 - 22/12</t>
  </si>
  <si>
    <t>A116</t>
  </si>
  <si>
    <t>KFM_HCM_Q12 - 76 Trần Thị Cờ - MINI</t>
  </si>
  <si>
    <t>14/12 - 21/12</t>
  </si>
  <si>
    <t>A117</t>
  </si>
  <si>
    <t>KFM_BDU_TAN - SH14 The Rivana - MINI</t>
  </si>
  <si>
    <t>13/12 - 20/12</t>
  </si>
  <si>
    <t>A125</t>
  </si>
  <si>
    <t>KFM_HCM_TDU - 115 Man Thiện - MINI</t>
  </si>
  <si>
    <t>KFM_HCM_NBE - 222 Lê Văn Lương - MINI</t>
  </si>
  <si>
    <t xml:space="preserve"> 20/12/2025 - 27/12/2025</t>
  </si>
  <si>
    <t>A113</t>
  </si>
  <si>
    <t>KFM_HCM_BTH - 216 Phan Văn Hân - MINI</t>
  </si>
  <si>
    <t>24/12 - 31/12</t>
  </si>
  <si>
    <t>A118</t>
  </si>
  <si>
    <t>KFM_HCM_Q10 - 74 Vĩnh Viễn - MINI</t>
  </si>
  <si>
    <t>A126</t>
  </si>
  <si>
    <t>KFM_HCM_Q03 - 274 Lê Văn Sỹ - MINI</t>
  </si>
  <si>
    <t>24/12/2025 - 31/12/2025</t>
  </si>
  <si>
    <t>A123</t>
  </si>
  <si>
    <t>KFM_HCM_TDU - 29B Đường Số 30 4S Linh Đông - MINI</t>
  </si>
  <si>
    <t>22/12/2025 - 31/12/2025</t>
  </si>
  <si>
    <t>Không KK TỔNG</t>
  </si>
  <si>
    <t>A119</t>
  </si>
  <si>
    <t>KFM_HCM_TDU - 09 Đào Trinh Nhất - MINI</t>
  </si>
  <si>
    <t>A128</t>
  </si>
  <si>
    <t>KFM_HCM_GVA - TM0.03 CH3 Cityland Park Hill - MINI</t>
  </si>
  <si>
    <t>A127</t>
  </si>
  <si>
    <t>KFM_HCM_TDU - B-SH.06 Urban Green - MINI</t>
  </si>
  <si>
    <t>A132</t>
  </si>
  <si>
    <t>KFM_HCM_TDU - 136 Hiệp Bình - MINI</t>
  </si>
  <si>
    <t xml:space="preserve"> 22/12/2025 - 31/12/2025</t>
  </si>
  <si>
    <t>KFM_HCM_Q07 - 0105 B4 Era Town - MART</t>
  </si>
  <si>
    <t>NGƯNG KIỂM KÊ</t>
  </si>
  <si>
    <t>25/02/2025</t>
  </si>
  <si>
    <t>26/02/2025</t>
  </si>
  <si>
    <t>27/02/2025</t>
  </si>
  <si>
    <t>24/02/2025</t>
  </si>
  <si>
    <t>KFM_HCM_TDU - 17 Hồ Thị Nhung - MINI</t>
  </si>
  <si>
    <t>31/03 - 09/04</t>
  </si>
  <si>
    <t>KFM_HCM_TDU - 160A Nguyễn Thị Định - MINI</t>
  </si>
  <si>
    <t>02/04 - 09/04</t>
  </si>
  <si>
    <t>KFM_HCM_BTH - 108 Ngô Tất Tố - MINI</t>
  </si>
  <si>
    <t>31/03 - 11/04</t>
  </si>
  <si>
    <t>14/04/2025</t>
  </si>
  <si>
    <t>23/04/2025</t>
  </si>
  <si>
    <t>KFM_HCM_Q12 - Block B1 Hưng Ngân Garden - MINI</t>
  </si>
  <si>
    <t>02/04 - 12/04</t>
  </si>
  <si>
    <t>21/04/2025</t>
  </si>
  <si>
    <t>KFM_HCM_TBI - 64A Cửu Long - MINI</t>
  </si>
  <si>
    <t>05/04 - 13/04</t>
  </si>
  <si>
    <t>KFM_HCM_TDU - 0.01 Chung cư An Cư An Phú - MINI</t>
  </si>
  <si>
    <t>24/03/2025</t>
  </si>
  <si>
    <t>30/03/2025</t>
  </si>
  <si>
    <t>KFM_HCM_Q10 - BB17 Trường Sơn - MART</t>
  </si>
  <si>
    <t>07/04 - 17/04</t>
  </si>
  <si>
    <t>31/03/2025</t>
  </si>
  <si>
    <t>KFM_HCM_Q07 - Lô CD L1-12 Q7 Riverside Đào Trí - MINI</t>
  </si>
  <si>
    <t>14-04-25</t>
  </si>
  <si>
    <t>KFM_HCM_TDU - D1-1.24 SAFIRA Khang Điền - MINI</t>
  </si>
  <si>
    <t>07/04 - 18/04</t>
  </si>
  <si>
    <t>KFM_HCM_TDU - 59 Quốc Hương - MINI</t>
  </si>
  <si>
    <t>12/04 - 20/04</t>
  </si>
  <si>
    <t>KFM_HCM_TDU - 539 Đỗ Xuân Hợp - MINI</t>
  </si>
  <si>
    <t>14/04 - 22/04</t>
  </si>
  <si>
    <t>KFM_HCM_BTH - 86B Vũ Tùng - MINI</t>
  </si>
  <si>
    <t>19-04-25</t>
  </si>
  <si>
    <t>16-04-25</t>
  </si>
  <si>
    <t>13/04/2025</t>
  </si>
  <si>
    <t>KFM_HCM_TDU - S1.05 Vinhomes Grand Park - MINI</t>
  </si>
  <si>
    <t>19/04 - 27/04</t>
  </si>
  <si>
    <t>KFM_BDU_DAN - S01.11 Block A1 Charm Sapphire - MINI</t>
  </si>
  <si>
    <t>17/04 - 26/04</t>
  </si>
  <si>
    <t>25/08/2025</t>
  </si>
  <si>
    <t>31/08/2025</t>
  </si>
  <si>
    <t>KFM_HCM_Q10 - 103 Hòa Hưng - MINI</t>
  </si>
  <si>
    <t>24-04-25</t>
  </si>
  <si>
    <t>21-04-25</t>
  </si>
  <si>
    <t>17/04/2025</t>
  </si>
  <si>
    <t>KFM_HCM_GVA - 195 Thống Nhất - MART</t>
  </si>
  <si>
    <t>KFM_HCM_TDU - SAV_04-00.03 The Sun Avenue - MINI</t>
  </si>
  <si>
    <t>21/04 - 01/05</t>
  </si>
  <si>
    <t>18/04/2025</t>
  </si>
  <si>
    <t>KFM_HCM_BTA - A10-0.02 Ehome 3 - MINI</t>
  </si>
  <si>
    <t>28/04 - 10/05</t>
  </si>
  <si>
    <t>20/04/2025</t>
  </si>
  <si>
    <t>KFM_HCM_TDU - 46 Trần Não - MINI</t>
  </si>
  <si>
    <t>05/05 - 15/05</t>
  </si>
  <si>
    <t>22/04/2025</t>
  </si>
  <si>
    <t>KFM_BDU_DAN - SH01 BCons Garden - MINI</t>
  </si>
  <si>
    <t>05/05 - 16/05</t>
  </si>
  <si>
    <t>22/042025</t>
  </si>
  <si>
    <t>KFM_BDU_TAN - B.01.04 Tháp B Opal Skyline - MINI</t>
  </si>
  <si>
    <t>09/05 - 21/05</t>
  </si>
  <si>
    <t>19/04/2025</t>
  </si>
  <si>
    <t>27/04/2025</t>
  </si>
  <si>
    <t>KFM_HCM_GVA - 308 Lê Văn Thọ - MINI</t>
  </si>
  <si>
    <t>08/05 - 20/05</t>
  </si>
  <si>
    <t>26/04/2025</t>
  </si>
  <si>
    <t>KFM_HCM_TDU - 63 Đường Số 3 - MINI</t>
  </si>
  <si>
    <t>07/05 - 21/05</t>
  </si>
  <si>
    <t>KFM_HCM_TPH - 48 CN1 - MINI</t>
  </si>
  <si>
    <t>10/05 - 22/05</t>
  </si>
  <si>
    <t>KFM_HCM_TDU - A0.01 EHomeS Phú Hữu - MINI</t>
  </si>
  <si>
    <t>09/05 - 22/05</t>
  </si>
  <si>
    <t xml:space="preserve">Thay đổi Lịch </t>
  </si>
  <si>
    <t>KFM_HCM_Q07 - 31 Tân Mỹ - MART</t>
  </si>
  <si>
    <t>28/04/2025</t>
  </si>
  <si>
    <t>KFM_HCM_TBI - 343 Lê Văn Sỹ - MART</t>
  </si>
  <si>
    <t>10/05 - 23/05</t>
  </si>
  <si>
    <t>KFM_HCM_BTA - 46 Nguyễn Thị Tú - MINI</t>
  </si>
  <si>
    <t>12/05 - 24/05</t>
  </si>
  <si>
    <t>13/05/2025</t>
  </si>
  <si>
    <t>KFM_HCM_TPH - 128 Vườn Lài - MINI</t>
  </si>
  <si>
    <t>12/05 - 25/05</t>
  </si>
  <si>
    <t>14/05/2025</t>
  </si>
  <si>
    <t>KFM_HCM_TDU - S03.05 Vinhomes Grand Park - MINI</t>
  </si>
  <si>
    <t>14/05 - 26/05</t>
  </si>
  <si>
    <t>KFM_HCM_Q08 - 296 Hoàng Ngân - MINI</t>
  </si>
  <si>
    <t>16/05 - 28/05</t>
  </si>
  <si>
    <t>KFM_HCM_Q07 - R13 Hưng Vượng 2 - MINI</t>
  </si>
  <si>
    <t>16/12/2025 - 26/12/2025</t>
  </si>
  <si>
    <t>16/05/2025</t>
  </si>
  <si>
    <t>KFM_HCM_Q07 - 233 Phạm Hữu Lầu - MINI</t>
  </si>
  <si>
    <t>09/06 - 21/06</t>
  </si>
  <si>
    <t>KFM_HCM_Q09 - 367 Nguyễn Văn Tăng - MINI</t>
  </si>
  <si>
    <t>16/06 - 23/06</t>
  </si>
  <si>
    <t>24/05/2025</t>
  </si>
  <si>
    <t>KFM_HCM_TDU - 222 Lê Văn Thịnh - MINI</t>
  </si>
  <si>
    <t>18/06 - 25/06</t>
  </si>
  <si>
    <t>21/05/2025</t>
  </si>
  <si>
    <t>KFM_HCM_TDU - D01.14 MT Eastmark City - MINI</t>
  </si>
  <si>
    <t>16/06 - 26/06</t>
  </si>
  <si>
    <t>25/05/2025</t>
  </si>
  <si>
    <t>KFM_HCM_GVA - 15 Nguyên Hồng - MINI</t>
  </si>
  <si>
    <t>22/06 - 30/06</t>
  </si>
  <si>
    <t>KFM_HCM_GVA - 446 Phạm Văn Bạch - MINI</t>
  </si>
  <si>
    <t>10/07 - 20/07</t>
  </si>
  <si>
    <t>28/05/2025</t>
  </si>
  <si>
    <t>KFM_HCM_BTH - 107 Bình Quới - MINI</t>
  </si>
  <si>
    <t>17/07 - 23/07</t>
  </si>
  <si>
    <t>17/05/2025</t>
  </si>
  <si>
    <t>29/05/2025</t>
  </si>
  <si>
    <t>KFM_HCM_BTA - AK4 Akari City - MINI</t>
  </si>
  <si>
    <t>15/07 - 23/07</t>
  </si>
  <si>
    <t>16/10/2025</t>
  </si>
  <si>
    <t>KFM_BDU_TAN - Block A Emerald Golf View - MINI</t>
  </si>
  <si>
    <t>17/07 - 27/07</t>
  </si>
  <si>
    <t>KFM_HCM_Q07 - C0.01 Riverside Phú Mỹ Hưng - MART</t>
  </si>
  <si>
    <t>30/07 - 10/08</t>
  </si>
  <si>
    <t>KFM_HCM_BCH - A7-8 Valora Mizuki - MINI</t>
  </si>
  <si>
    <t>02/08 - 10/08</t>
  </si>
  <si>
    <t>18/06/2025</t>
  </si>
  <si>
    <t>25/06/2025</t>
  </si>
  <si>
    <t>KFM_HCM_TDU - The Art Gia Hòa - MART</t>
  </si>
  <si>
    <t>04/08 - 12/08</t>
  </si>
  <si>
    <t>23/05/2025</t>
  </si>
  <si>
    <t>KFM_HCM_TBI - 22 Hoàng Hoa Thám - MART</t>
  </si>
  <si>
    <t>08/08 - 18/08</t>
  </si>
  <si>
    <t>17/06/2025</t>
  </si>
  <si>
    <t>KFM_HCM_TPH - RS4 Richstar - MINI</t>
  </si>
  <si>
    <t>25/08 - 31/08</t>
  </si>
  <si>
    <t>Kiểm kê Tổng L2</t>
  </si>
  <si>
    <t>19/06/2025</t>
  </si>
  <si>
    <t>KFM_HCM_Q07 - 43 Bùi Văn Ba - MINI</t>
  </si>
  <si>
    <t xml:space="preserve">L1 T4 / KK bàn giao </t>
  </si>
  <si>
    <t>15/07/2025</t>
  </si>
  <si>
    <t>23/07/2025</t>
  </si>
  <si>
    <t>KFM_HCM_TBI - 165 Hoàng Hoa Thám - MINI</t>
  </si>
  <si>
    <t>22/09 - 04/10</t>
  </si>
  <si>
    <t>16/06/2025</t>
  </si>
  <si>
    <t>23/06/2025</t>
  </si>
  <si>
    <t>KFM_HCM_TPH - 85 Cây Keo - MINI</t>
  </si>
  <si>
    <t>26/06/2025</t>
  </si>
  <si>
    <t>KFM_HCM_TDU - 1426 Nguyễn Duy Trinh - MINI</t>
  </si>
  <si>
    <t>22/09 - 05/10</t>
  </si>
  <si>
    <t>KFM_HCM_TDU - S07.02 Vinhomes Grand Park - MINI</t>
  </si>
  <si>
    <t>06/10 - 16/10</t>
  </si>
  <si>
    <t>KFM_HCM_Q7 - 01 Đường Số 10 Tân Kiểng - MINI</t>
  </si>
  <si>
    <t>13/10 - 19/10</t>
  </si>
  <si>
    <t>GSM kết hợp KK bàn giao</t>
  </si>
  <si>
    <t>24/04/2025</t>
  </si>
  <si>
    <t>25/04/2025</t>
  </si>
  <si>
    <t>KFM_HCM_TPH - S1.0.38 Block A5 Diamond Celadon City - MINI</t>
  </si>
  <si>
    <t>10/10 - 18/10</t>
  </si>
  <si>
    <t>Do trùng ngày kk</t>
  </si>
  <si>
    <t>28/07/2025</t>
  </si>
  <si>
    <t>KFM_HCM_TDU - GH5 Vinhomes Grand Park - MINI</t>
  </si>
  <si>
    <t>12/10 - 21/10</t>
  </si>
  <si>
    <t>KFM_BDU_DAN - 27 Tân Lập - MINI</t>
  </si>
  <si>
    <t>KFM_HCM_GVA - 299 Nguyễn Văn Khối - MINI</t>
  </si>
  <si>
    <t>13/10 - 23/10</t>
  </si>
  <si>
    <t>KFM_HCM_NBE - 5/3D Huỳnh Tấn Phát - MINI</t>
  </si>
  <si>
    <t>15/10 - 23/10</t>
  </si>
  <si>
    <t>NTN</t>
  </si>
  <si>
    <t>KFM_HCM_PNH - 154 Nguyễn Trọng Tuyển - MINI</t>
  </si>
  <si>
    <t>15/10 - 24/10</t>
  </si>
  <si>
    <t>KFM_HCM_BCH - 511 Quốc lộ 50 - MART</t>
  </si>
  <si>
    <t>13/10 - 25/10</t>
  </si>
  <si>
    <t>KFM_HCM_TDU - 02 Lê Lợi - MINI</t>
  </si>
  <si>
    <t>16/10 - 26/10</t>
  </si>
  <si>
    <t>KFM_HCM_TDU - 05 Đường D3 Phước Long - MINI</t>
  </si>
  <si>
    <t>KFM_HCM_TBI - 236A Lê Văn Sỹ - MINI</t>
  </si>
  <si>
    <t>16/10 - 25/10</t>
  </si>
  <si>
    <t>Lần 2</t>
  </si>
  <si>
    <t>15/09/2025</t>
  </si>
  <si>
    <t>KFM_HCM_TDU - 02 Tạ Hiện - MINI</t>
  </si>
  <si>
    <t>20/10 - 26/10</t>
  </si>
  <si>
    <t>KFM_HCM_Q07 - 10 Đường số 67 Tân Kiểng - MINI</t>
  </si>
  <si>
    <t>20/10 - 30/10</t>
  </si>
  <si>
    <t>CLOSE</t>
  </si>
  <si>
    <t>KFM_HCM_BTA - 66/70 Bình Thành - MINI</t>
  </si>
  <si>
    <t>17/09/2025</t>
  </si>
  <si>
    <t>KFM_HCM_BCH - 10 Phạm Hùng - MART</t>
  </si>
  <si>
    <t>29/10 - 31/10</t>
  </si>
  <si>
    <t xml:space="preserve">GSM BÀN GIAO </t>
  </si>
  <si>
    <t>18/08/2025</t>
  </si>
  <si>
    <t>KFM_HCM_TBI - Block C Harmona - MINI</t>
  </si>
  <si>
    <t>1/11 - 8/11</t>
  </si>
  <si>
    <t>13/09/2025</t>
  </si>
  <si>
    <t>21/09/2025</t>
  </si>
  <si>
    <t>KFM_HCM_TDU - S06.06 Vinhomes Grand Park - MINI</t>
  </si>
  <si>
    <t>31/10 - 8/11</t>
  </si>
  <si>
    <t>22/09/2025</t>
  </si>
  <si>
    <t>KFM_HCM_BTH - 42 Nguyễn Văn Đậu - MINI</t>
  </si>
  <si>
    <t xml:space="preserve">1/11 - 7/11 </t>
  </si>
  <si>
    <t>KFM_HCM_Q04 - 98 Khánh Hội - MINI</t>
  </si>
  <si>
    <t>1/11 - 9/11</t>
  </si>
  <si>
    <t>KFM_HCM_Q07 - 09 Lâm Văn Bền - MINI</t>
  </si>
  <si>
    <t>KFM_HCM_TDU - S10.02 Vinhomes Grand Park - MINI</t>
  </si>
  <si>
    <t>KFM_HCM_GVA - 372 Dương Quảng Hàm - MINI</t>
  </si>
  <si>
    <t>27/07/2025</t>
  </si>
  <si>
    <t>KFM_HCM_Q07 - Block A Himlam Riverside Q7 - MINI</t>
  </si>
  <si>
    <t>31/10 - 08/11</t>
  </si>
  <si>
    <t>KFM_HCM_Q06 - 229A Tân Hòa Đông - MINI</t>
  </si>
  <si>
    <t>1/11 - 7/11</t>
  </si>
  <si>
    <t>29/09/205</t>
  </si>
  <si>
    <t>KFM_HCM_Q07 - 571 Huỳnh Tấn Phát - MART</t>
  </si>
  <si>
    <t xml:space="preserve">1/11 - 10/11 </t>
  </si>
  <si>
    <t>A114</t>
  </si>
  <si>
    <t>KFM_HCM_Q08 - 320 Hưng Phú - MART</t>
  </si>
  <si>
    <t>02/11 -10/11</t>
  </si>
  <si>
    <t>KFM_HCM_Q07 - 436 Nguyễn Thị Thập - MART</t>
  </si>
  <si>
    <t>2/11 - 10/11</t>
  </si>
  <si>
    <t>13/10/2025</t>
  </si>
  <si>
    <t>KFM_HCM_TPH - 116 Gò Dầu - MINI</t>
  </si>
  <si>
    <t>4/11 - 10/11</t>
  </si>
  <si>
    <t>13/101/2025</t>
  </si>
  <si>
    <t>25/10/2025</t>
  </si>
  <si>
    <t>KFM_HCM_BCH - D-2.01A Westgate An Gia - MINI</t>
  </si>
  <si>
    <t xml:space="preserve">2/11 - 11/11 </t>
  </si>
  <si>
    <t>30/10/2025</t>
  </si>
  <si>
    <t>KFM_HCM_Q07 - 97 Lê Thị Chợ - MINI</t>
  </si>
  <si>
    <t>3/11 -10/11</t>
  </si>
  <si>
    <t>KFM_HCM_Q08 - Block C Diamond Riverside - MINI</t>
  </si>
  <si>
    <t>07/11 -13/11</t>
  </si>
  <si>
    <t>18/10/2025</t>
  </si>
  <si>
    <t>KFM_HCM_BTA - TMDV19 Privia Khang Điền - MINI</t>
  </si>
  <si>
    <t>5/11 - 13/11</t>
  </si>
  <si>
    <t>31/10/2025</t>
  </si>
  <si>
    <t>KFM_HCM_Q12 - AS19 Block A Prosper Plaza - MINI</t>
  </si>
  <si>
    <t>03/11 - 13/11</t>
  </si>
  <si>
    <t>30/07/2025</t>
  </si>
  <si>
    <t>KFM_HCM_Q03 - 14 Huỳnh Tịnh Của - MINI</t>
  </si>
  <si>
    <t>26/05/2025</t>
  </si>
  <si>
    <t>KFM_HCM_PNH - T1-5 TMDV Orchard Garden - MINI</t>
  </si>
  <si>
    <t>06/11 - 13/11</t>
  </si>
  <si>
    <t>17/07/2025</t>
  </si>
  <si>
    <t>KFM_HCM_TDU - 38E Cây Keo - MINI</t>
  </si>
  <si>
    <t>07/11 - 13/11</t>
  </si>
  <si>
    <t>KFM_HCM_Q08 - 01.18 Pegasuite - MINI</t>
  </si>
  <si>
    <t>6/11 - 15/11</t>
  </si>
  <si>
    <t>KFM_HCM_TDU - 02 Nguyễn Thị Nhung - MINI</t>
  </si>
  <si>
    <t>07/11 - 15/11</t>
  </si>
  <si>
    <t>KFM_HCM_Q07 - 106 Trần Trọng Cung - MINI</t>
  </si>
  <si>
    <t>11/11 -18/11</t>
  </si>
  <si>
    <t>22/06/2025</t>
  </si>
  <si>
    <t>30/06/2025</t>
  </si>
  <si>
    <t>KFM_HCM_NBE - SH14-15 Saigon South Residences - MINI</t>
  </si>
  <si>
    <t>10/11 - 19/11</t>
  </si>
  <si>
    <t>15/11/2025</t>
  </si>
  <si>
    <t>KFM_HCM_TPH - 66 Trương Vĩnh Ký - MINI</t>
  </si>
  <si>
    <t>15/11 - 24/11</t>
  </si>
  <si>
    <t>19/11/2025</t>
  </si>
  <si>
    <t>KFM_HCM_Q03 - 10D Kỳ Đồng - MINI</t>
  </si>
  <si>
    <t xml:space="preserve">19/11 - 29/11 </t>
  </si>
  <si>
    <t>21/11/2025</t>
  </si>
  <si>
    <t>KFM_HCM_TDU - BS11 Vinhomes Grand Park - MINI</t>
  </si>
  <si>
    <t>21/11 - 30/11</t>
  </si>
  <si>
    <t>21/10/2025</t>
  </si>
  <si>
    <t>KFM_HCM_TDU - 128A Kha Vạn Cân - MINI</t>
  </si>
  <si>
    <t>KFM_HCM_BTH - 54 Vũ Huy Tấn - MINI</t>
  </si>
  <si>
    <t>25-11-2025</t>
  </si>
  <si>
    <t>22-11-2025</t>
  </si>
  <si>
    <t>20-11-2025</t>
  </si>
  <si>
    <t>20/11-31-11</t>
  </si>
  <si>
    <t>KFM_HCM_TDU - 305 Nguyễn Duy Trinh - MART</t>
  </si>
  <si>
    <t>27-03-25</t>
  </si>
  <si>
    <t>24-03-25</t>
  </si>
  <si>
    <t>22-03-25</t>
  </si>
  <si>
    <t>24/03 - 30/03</t>
  </si>
  <si>
    <t>KFM_HCM_TDU - Block B Imperia An Phú - MART</t>
  </si>
  <si>
    <t>31-03-25</t>
  </si>
  <si>
    <t>31/03 - 08/04</t>
  </si>
  <si>
    <t>KFM_HCM_BTA - 99 Đường Số 7 - MINI</t>
  </si>
  <si>
    <t>KFM_HCM_BCH - TMDV2 Mizuki Park - MINI</t>
  </si>
  <si>
    <t>KFM_HCM_Q07 - 39 Lý Phục Man - MINI</t>
  </si>
  <si>
    <t>A133</t>
  </si>
  <si>
    <t>KFM_HCM_Q10 - 7/29 Thành Thái - MINI</t>
  </si>
  <si>
    <t>Không KK</t>
  </si>
  <si>
    <t>A134</t>
  </si>
  <si>
    <t>KFM_HCM_TBI - 48 Trần Văn Quang - MINI</t>
  </si>
  <si>
    <t>LỊCH KIỂM KÊ TỔNG 2026</t>
  </si>
  <si>
    <t xml:space="preserve">Thời gian: </t>
  </si>
  <si>
    <t xml:space="preserve">SOC </t>
  </si>
  <si>
    <t>OPENNING</t>
  </si>
  <si>
    <t>Ngày kiểm kê tổng 2025</t>
  </si>
  <si>
    <t>Số ngày đã KK Tổng</t>
  </si>
  <si>
    <t>Ngày kiểm kê tổng 2026</t>
  </si>
  <si>
    <t>NGÀY KIỂM KÊ TÀI SẢN , VPP , CCDC</t>
  </si>
  <si>
    <t>Số ngày đến ngày đổ phiếu tổng</t>
  </si>
  <si>
    <t xml:space="preserve">Note </t>
  </si>
  <si>
    <t>Tháng</t>
  </si>
  <si>
    <t>Note</t>
  </si>
  <si>
    <t>KFM_HCM_TDU - BS11 Vinhomes Grand Park</t>
  </si>
  <si>
    <t>11/01/2026 - 19/01/2026</t>
  </si>
  <si>
    <t>KK TỔNG BÀN GIAO</t>
  </si>
  <si>
    <t>KFM_HCM_Q03 - 10D Kỳ Đồng</t>
  </si>
  <si>
    <t>15/01/2026 - 22/01/2026</t>
  </si>
  <si>
    <t>KFM_HCM_PNH - 154 Nguyễn Trọng Tuyển</t>
  </si>
  <si>
    <t>KFM_HCM_BCH - TMDV2 Mizuki Park</t>
  </si>
  <si>
    <t>18/01/2026 - 25/01/2026</t>
  </si>
  <si>
    <t>KFM_HCM_NBE - 5/3D Huỳnh Tấn Phát</t>
  </si>
  <si>
    <t>19/01/2026 - 25/01/2026</t>
  </si>
  <si>
    <t>KFM_HCM_TDU - S03.05 Vinhomes Grand Park</t>
  </si>
  <si>
    <t>24/01/2026 - 31/01/2026</t>
  </si>
  <si>
    <t>KFM_HCM_TDU - 115 Man Thiện</t>
  </si>
  <si>
    <t>26/01/2026 - 02/02/2026</t>
  </si>
  <si>
    <t>KFM_HCM_Q07 - E72 Phú Thuận</t>
  </si>
  <si>
    <t>06/03/2026 - 11/03/2026</t>
  </si>
  <si>
    <t>KK TỔNG BÀN GIAO SM</t>
  </si>
  <si>
    <t>KFM_HCM_TDU - 59 Quốc Hương</t>
  </si>
  <si>
    <t>02/05/2026 - 07/05/2026</t>
  </si>
  <si>
    <t>KFM_HCM_Q10 - Jasmine 1 Hà Đô Centrosa</t>
  </si>
  <si>
    <t>24/02/2026 - 28/02/2026</t>
  </si>
  <si>
    <t>KFM_HCM_Q07 - X1.013 Sunrise City North</t>
  </si>
  <si>
    <t>NSO</t>
  </si>
  <si>
    <t>10/03/2026 - 15/03/2026</t>
  </si>
  <si>
    <t>15/03/2026</t>
  </si>
  <si>
    <t>KFM_BDU_DAN - 27 Tân Lập</t>
  </si>
  <si>
    <t>16/03/2026 - 22/03/2026</t>
  </si>
  <si>
    <t>KIỂM TỔNG 2026</t>
  </si>
  <si>
    <t>KFM_HCM_TDU - 539 Đỗ Xuân Hợp</t>
  </si>
  <si>
    <t>18/03/2026 - 24/03/2026</t>
  </si>
  <si>
    <t>22/03/2026</t>
  </si>
  <si>
    <t>KFM_HCM_TDU - 160A Nguyễn Thị Định</t>
  </si>
  <si>
    <t>KFM_HCM_TDU - S10.02 Vinhomes Grand Park</t>
  </si>
  <si>
    <t>22/03/2026 – 29/03/2026</t>
  </si>
  <si>
    <t>30/03/2026</t>
  </si>
  <si>
    <t>KFM_HCM_Q12 - 678 Nguyễn Văn Quá</t>
  </si>
  <si>
    <t>23/03/2026 – 29/03/2026</t>
  </si>
  <si>
    <t>28/03/2026</t>
  </si>
  <si>
    <t>KFM_HCM_BTA - 99 Đường Số 7</t>
  </si>
  <si>
    <t>23/03/2026 - 31/03/2026</t>
  </si>
  <si>
    <t>23/03/2026</t>
  </si>
  <si>
    <t>KFM_HCM_BTA - 197 Đường số 1 An Lạc</t>
  </si>
  <si>
    <t>23/03/2026 - 30/03/2026</t>
  </si>
  <si>
    <t>25/03/2026</t>
  </si>
  <si>
    <t>KFM_HCM_Q07 - 571 Huỳnh Tấn Phát</t>
  </si>
  <si>
    <t>24/03/2026</t>
  </si>
  <si>
    <t>KFM_HCM_BTH - 216 Phan Văn Hân</t>
  </si>
  <si>
    <t>KFM_HCM_BTH - 108 Ngô Tất Tố</t>
  </si>
  <si>
    <t>25/03/2026 - 31/03/2026</t>
  </si>
  <si>
    <t>26/03/2026</t>
  </si>
  <si>
    <t>KFM_HCM_TDU - 305 Nguyễn Duy Trinh</t>
  </si>
  <si>
    <t>22/03/2026 - 31/03/2026</t>
  </si>
  <si>
    <t>27/03/2026</t>
  </si>
  <si>
    <t>Đổ phiếu tổng lần 2 (27.3)</t>
  </si>
  <si>
    <t>KFM_HCM_BTA - TMDV19 Privia Khang Điền</t>
  </si>
  <si>
    <t>KFM_HCM_Q07 - Lô CD L1-12 Q7 Riverside Đào Trí</t>
  </si>
  <si>
    <t>26/03/2026 - 02/04/2026</t>
  </si>
  <si>
    <t>KFM_HCM_GVA - 410 Phan Huy Ích</t>
  </si>
  <si>
    <t>29/03/2026 – 03/04/2026</t>
  </si>
  <si>
    <t>29/03/2026</t>
  </si>
  <si>
    <t>KFM_HCM_Q08 - Block C Diamond Riverside</t>
  </si>
  <si>
    <t>30/03/2026 - 06/04/2026</t>
  </si>
  <si>
    <t>KFM_HCM_Q04 - 98 Khánh Hội</t>
  </si>
  <si>
    <t>31/03/2026 - 06/04/2026</t>
  </si>
  <si>
    <t>KFM_HCM_TDU - 222 Lê Văn Thịnh</t>
  </si>
  <si>
    <t>KFM_HCM_BCH - 511 Quốc lộ 50</t>
  </si>
  <si>
    <t>01/04/2026 - 06/04/2026</t>
  </si>
  <si>
    <t>KFM_HCM_BTA - A10-0.02 Ehome 3</t>
  </si>
  <si>
    <t>01/05/2026 - 07/05/2026</t>
  </si>
  <si>
    <t>KFM_HCM_TPH - 128 Vườn Lài</t>
  </si>
  <si>
    <t>01/04/2026 - 07/04/2026</t>
  </si>
  <si>
    <t>KFM_HCM_TDU - GH5 Vinhomes Grand Park</t>
  </si>
  <si>
    <t>KFM_HCM_TDU - SAV_04-00.03 The Sun Avenue</t>
  </si>
  <si>
    <t>KFM_HCM_Q07 - 956 Huỳnh Tấn Phát</t>
  </si>
  <si>
    <t>Đổ lại phiếu KK tài sản 9.4</t>
  </si>
  <si>
    <t>KFM_HCM_GVA - 308 Lê Văn Thọ</t>
  </si>
  <si>
    <t>01/04/2026 - 08/04/2026</t>
  </si>
  <si>
    <t>KK TỔNG BÀN GIAO GSM</t>
  </si>
  <si>
    <t>KFM_HCM_GVA - 371 Nguyễn Kiệm</t>
  </si>
  <si>
    <t>02/04/2026 - 08/04/2026</t>
  </si>
  <si>
    <t>KFM_HCM_Q08 - 296 Hoàng Ngân</t>
  </si>
  <si>
    <t>KFM_HCM_Q12 - Block B1 Hưng Ngân Garden</t>
  </si>
  <si>
    <t>03/04/2026 - 08/04/2026</t>
  </si>
  <si>
    <t>KFM_HCM_TDU - 0.01 Chung cư An Cư An Phú</t>
  </si>
  <si>
    <t>03/04/2026 - 10/04/2026</t>
  </si>
  <si>
    <t>KFM_HCM_Q07 - Block A Himlam Riverside Q7</t>
  </si>
  <si>
    <t>04/04/2026 - 11/04/2026</t>
  </si>
  <si>
    <t>KFM_HCM_NBE - SH14-15 Saigon South Residences</t>
  </si>
  <si>
    <t>KFM_HCM_TPH - 66 Trương Vĩnh Ký</t>
  </si>
  <si>
    <t>04/04/2026 - 09/04/2026</t>
  </si>
  <si>
    <t>KFM_BDU_DAN - 01-06 TMDV Him Lam Phú Đông</t>
  </si>
  <si>
    <t>04/04/2026 - 10/04/2026</t>
  </si>
  <si>
    <t>Dời KK trễ 1 ngày -&gt; 9.4</t>
  </si>
  <si>
    <t>KFM_HCM_TPH - 48 CN1</t>
  </si>
  <si>
    <t>KFM_HCM_BCH - 10 Phạm Hùng</t>
  </si>
  <si>
    <t>KFM_HCM_Q08 - 01.18 Pegasuite</t>
  </si>
  <si>
    <t>KFM_HCM_Q08 - 320 Hưng Phú</t>
  </si>
  <si>
    <t>KFM_HCM_Q07 - 233 Phạm Hữu Lầu</t>
  </si>
  <si>
    <t>05/04/2026 - 12/04/2026</t>
  </si>
  <si>
    <t>KFM_HCM_TBI - 64A Cửu Long</t>
  </si>
  <si>
    <t>KFM_HCM_Q1 - 93 Cô Giang</t>
  </si>
  <si>
    <t>KFM_HCM_TDU - S1.05 Vinhomes Grand Park</t>
  </si>
  <si>
    <t>03/05/2026 - 09/05/2026</t>
  </si>
  <si>
    <t>KFM_HCM_TDU - S07.02 Vinhomes Grand Park</t>
  </si>
  <si>
    <t>KFM_HCM_TDU - A0.01 EHomeS Phú Hữu</t>
  </si>
  <si>
    <t>06/04/2026 - 13/04/2026</t>
  </si>
  <si>
    <t>KFM_HCM_Q03 - 125 Nguyễn Phúc Nguyên</t>
  </si>
  <si>
    <t>03/05/2026 - 08/05/2025</t>
  </si>
  <si>
    <t>KFM_HCM_BTH - 42 Nguyễn Văn Đậu</t>
  </si>
  <si>
    <t>KFM_HCM_BTH - 484B Lê Quang Định</t>
  </si>
  <si>
    <t>KFM_HCM_GVA - 15 Nguyên Hồng</t>
  </si>
  <si>
    <t>KFM_HCM_Q10 - 103 Hòa Hưng</t>
  </si>
  <si>
    <t>07/04/2026 - 14/04/2026</t>
  </si>
  <si>
    <t>KFM_HCM_BCH - A7-8 Valora Mizuki</t>
  </si>
  <si>
    <t>KFM_HCM_Q07 - 39 Lý Phục Man</t>
  </si>
  <si>
    <t>Huỷ phiếu 25.4 dời KK tổng sang 8.5</t>
  </si>
  <si>
    <t>KFM_HCM_Q03 - 14 Huỳnh Tịnh Của</t>
  </si>
  <si>
    <t>07/05/2026 - 15/05/2026</t>
  </si>
  <si>
    <t>13/05/2026</t>
  </si>
  <si>
    <t>KFM_HCM_TDU - Block B Imperia An Phú</t>
  </si>
  <si>
    <t>07/05/2026 - 13/05/2026</t>
  </si>
  <si>
    <t>KFM_HCM_BTA - 46 Nguyễn Thị Tú</t>
  </si>
  <si>
    <t>08/04/2026 - 15/04/2026</t>
  </si>
  <si>
    <t>KFM_HCM_Q07 - 97 Lê Thị Chợ</t>
  </si>
  <si>
    <t>KFM_HCM_GVA - 299 Nguyễn Văn Khối</t>
  </si>
  <si>
    <t>KFM_HCM_GVA - 372 Dương Quảng Hàm</t>
  </si>
  <si>
    <t>KFM_HCM_PNH - T1-5 TMDV Orchard Garden</t>
  </si>
  <si>
    <t>09/04/2026 - 16/04/2026</t>
  </si>
  <si>
    <t>15/04/2026</t>
  </si>
  <si>
    <t>KFM_HCM_TBI - 22 Hoàng Hoa Thám</t>
  </si>
  <si>
    <t>KFM_HCM_TBI - Block C Harmona</t>
  </si>
  <si>
    <t>KFM_HCM_TPH - 116 Gò Dầu</t>
  </si>
  <si>
    <t>KFM_HCM_GVA - TM0.03 CH3 Cityland Park Hill</t>
  </si>
  <si>
    <t>11/04/2026 - 17/04/2026</t>
  </si>
  <si>
    <t>24/04/2026</t>
  </si>
  <si>
    <t>Bổ sung kk Tài sản 24.4 , đổ lại ngày 02.05</t>
  </si>
  <si>
    <t>KFM_HCM_TDU - 29B Đường Số 30 4S Linh Đông</t>
  </si>
  <si>
    <t>12/04/2026 - 18/04/2026</t>
  </si>
  <si>
    <t>16/04/2026</t>
  </si>
  <si>
    <t>KFM_HCM_TBI - 48 Trần Văn Quang</t>
  </si>
  <si>
    <t>16/05/2026</t>
  </si>
  <si>
    <t>KFM_HCM_Q07 - 17 Đường số 16, Khu Nam Viên Midtown</t>
  </si>
  <si>
    <t>08/05/2026 - 12/05/2026</t>
  </si>
  <si>
    <t>KFM_HCM_Q07 - A01-06 Hoàng Anh Thanh Bình</t>
  </si>
  <si>
    <t>11/05/2026 - 17/05/2026</t>
  </si>
  <si>
    <t>14/11/2025</t>
  </si>
  <si>
    <t>KFM_HCM_Q12 - 76 Trần Thị Cờ</t>
  </si>
  <si>
    <t>KFM_HCM_BTA - 4535 Nguyễn Cửu Phú</t>
  </si>
  <si>
    <t>13/04/2026 - 18/04/2026</t>
  </si>
  <si>
    <t>13/04/2026</t>
  </si>
  <si>
    <t>KFM_HCM_BTH - 54 Vũ Huy Tấn</t>
  </si>
  <si>
    <t>KFM_HCM_TPH - 379 Thạch Lam</t>
  </si>
  <si>
    <t>14/04/2026 - 18/04/2026</t>
  </si>
  <si>
    <t>14/04/2026</t>
  </si>
  <si>
    <t>KFM_HCM_TDU - 02 Lê Lợi</t>
  </si>
  <si>
    <t>17/05/2026</t>
  </si>
  <si>
    <t>KFM_BDU_DAN - S01.11 Block A1 Charm Sapphire</t>
  </si>
  <si>
    <t>KFM_BDU_DAN - SH01 BCons Garden</t>
  </si>
  <si>
    <t>KFM_BDU_TAN - B.01.04 Tháp B Opal Skyline</t>
  </si>
  <si>
    <t>KFM_BDU_TAN - Block A Emerald Golf View</t>
  </si>
  <si>
    <t>KFM_BDU_TAN - SH04 The Rivana</t>
  </si>
  <si>
    <t>KFM_HCM_TDU - 05 Đường D3 Phước Long</t>
  </si>
  <si>
    <t>KFM_HCM_BTA - 66/70 Bình Thành</t>
  </si>
  <si>
    <t>15/04/2026 - 21/04/2026</t>
  </si>
  <si>
    <t>KFM_HCM_TDU - A1.04 Jamila Khang Điền</t>
  </si>
  <si>
    <t>KFM_HCM_TDU - The Art Gia Hòa</t>
  </si>
  <si>
    <t>KFM_HCM_TDU - 41 Vũ Tông Phan</t>
  </si>
  <si>
    <t>14/05/2026</t>
  </si>
  <si>
    <t>KFM_HCM_Q07 - 436 Nguyễn Thị Thập</t>
  </si>
  <si>
    <t>KFM_HCM_Q07 - B0.02 Scenic Valley 2</t>
  </si>
  <si>
    <t>KFM_HCM_Q07 - R13 Hưng Vượng 2</t>
  </si>
  <si>
    <t>KFM_HCM_Q7 - 01 Đường Số 10 Tân Kiểng</t>
  </si>
  <si>
    <t>KFM_HCM_GVA - 20 Lê Đức Thọ</t>
  </si>
  <si>
    <t>KFM_HCM_TDU - S06.06 Vinhomes Grand Park</t>
  </si>
  <si>
    <t>KFM_HCM_TBI - 165 Hoàng Hoa Thám</t>
  </si>
  <si>
    <t>16/04/2026 - 22/04/2026</t>
  </si>
  <si>
    <t>17/04/2026</t>
  </si>
  <si>
    <t>KFM_HCM_TPH - 50 Lương Minh Nguyệt</t>
  </si>
  <si>
    <t>KFM_HCM_Q12 - AS19 Block A Prosper Plaza</t>
  </si>
  <si>
    <t>KFM_HCM_BTH - 86B Vũ Tùng</t>
  </si>
  <si>
    <t>19/04/2026</t>
  </si>
  <si>
    <t>KFM_HCM_TPH - S1.0.38 Block A5 Diamond Celadon City</t>
  </si>
  <si>
    <t>KFM_HCM_BCH - D-2.01A Westgate An Gia</t>
  </si>
  <si>
    <t>KFM_HCM_TDU - B-SH.06 Urban Green</t>
  </si>
  <si>
    <t>17/04/2026 - 22/04/2026</t>
  </si>
  <si>
    <t>KFM_HCM_Q07 - 106 Trần Trọng Cung</t>
  </si>
  <si>
    <t>17/04/2026 - 24/04/2026</t>
  </si>
  <si>
    <t>KFM_HCM_TDU - 60 Lương Định Của</t>
  </si>
  <si>
    <t>12/05/2026 - 18/05/2026</t>
  </si>
  <si>
    <t>KFM_HCM_TDU - 136 Hiệp Bình</t>
  </si>
  <si>
    <t>19/04/2026 - 24/04/2026</t>
  </si>
  <si>
    <t>KFM_HCM_GVA - 195 Thống Nhất</t>
  </si>
  <si>
    <t>19/04/2026 - 25/04/2026</t>
  </si>
  <si>
    <t>KFM_HCM_Q07 - 09 Lâm Văn Bền</t>
  </si>
  <si>
    <t>KFM_HCM_TDU - 17 Hồ Thị Nhung</t>
  </si>
  <si>
    <t>20/04/2026 - 25/04/2026</t>
  </si>
  <si>
    <t>KFM_HCM_Q07 - 31 Tân Mỹ</t>
  </si>
  <si>
    <t>14/05/2026 - 20/05/2026</t>
  </si>
  <si>
    <t>KFM_HCM_TDU - 1426 Nguyễn Duy Trinh</t>
  </si>
  <si>
    <t>KFM_HCM_TDU - 74 Đường Số 1 Chung Cư Sky 9</t>
  </si>
  <si>
    <t>KFM_HCM_Q09 - 367 Nguyễn Văn Tăng</t>
  </si>
  <si>
    <t>15/05/2026 - 22/05/2026</t>
  </si>
  <si>
    <t>20/05/2026</t>
  </si>
  <si>
    <t>KFM_HCM_TDU - D1-1.24 SAFIRA Khang Điền</t>
  </si>
  <si>
    <t>KFM_HCM_BCH - Block G Conic Skyway</t>
  </si>
  <si>
    <t>KFM_HCM_TPH - RS4 Richstar</t>
  </si>
  <si>
    <t>21/04/2026 - 25/04/2026</t>
  </si>
  <si>
    <t>21/04/2026</t>
  </si>
  <si>
    <t>KFM_HCM_Q07 - C0.01 Riverside Phú Mỹ Hưng</t>
  </si>
  <si>
    <t>KFM_HCM_TDU - 02 Tạ Hiện</t>
  </si>
  <si>
    <t>KFM_HCM_TDU - 38E Cây Keo</t>
  </si>
  <si>
    <t>21/04/2026 - 26/04/2026</t>
  </si>
  <si>
    <t>25/04/2026</t>
  </si>
  <si>
    <t>KFM_HCM_TDU - TMDV Citihome Cát Lái</t>
  </si>
  <si>
    <t>KFM_HCM_Q12 - 170 Nguyễn Thị Búp</t>
  </si>
  <si>
    <t>KFM_HCM_Q06 - 123 Lý Chiêu Hoàng</t>
  </si>
  <si>
    <t>24/04/2026 - 30/04/2026</t>
  </si>
  <si>
    <t>KFM_HCM_Q03 - 274 Lê Văn Sỹ</t>
  </si>
  <si>
    <t>KFM_HCM_TBI - 108 Bùi Thị Xuân</t>
  </si>
  <si>
    <t>KFM_HCM_TBI - 236A Lê Văn Sỹ</t>
  </si>
  <si>
    <t>KFM_HCM_TDU - 09 Đào Trinh Nhất</t>
  </si>
  <si>
    <t>15/05/2026 - 21/05/2026</t>
  </si>
  <si>
    <t>KFM_HCM_Q10 - 74 Vĩnh Viễn</t>
  </si>
  <si>
    <t>KFM_HCM_BTA - AK4 Akari City</t>
  </si>
  <si>
    <t>17/05/2026 - 24/05/2026</t>
  </si>
  <si>
    <t>22/05/2026</t>
  </si>
  <si>
    <t>KFM_HCM_NBE - 166E Lê Văn Lương</t>
  </si>
  <si>
    <t>KFM_HCM_NBE - 222 Lê Văn Lương</t>
  </si>
  <si>
    <t>20/05/2026 - 26/05/2026</t>
  </si>
  <si>
    <t>KFM_HCM_GVA - 446 Phạm Văn Bạch</t>
  </si>
  <si>
    <t>21/05/2026 - 27/05/2026</t>
  </si>
  <si>
    <t>KFM_HCM_TDU - 02 Nguyễn Thị Nhung</t>
  </si>
  <si>
    <t>KFM_HCM_TDU - 128A Kha Vạn Cân</t>
  </si>
  <si>
    <t>KFM_HCM_Q06 - 229A Tân Hòa Đông</t>
  </si>
  <si>
    <t>KFM_HCM_BCH - 68 Đường Số 1 Khu dân cư 6B Intresco</t>
  </si>
  <si>
    <t>22/05/2026 - 27/05/2026</t>
  </si>
  <si>
    <t>KFM_HCM_TDU - 46 Trần Não</t>
  </si>
  <si>
    <t>22/05/2026 - 28/05/2026</t>
  </si>
  <si>
    <t>23/05/2026 - 30/05/2026</t>
  </si>
  <si>
    <t>30/05/2026</t>
  </si>
  <si>
    <t>KFM_HCM_TPH - 85 Cây Keo</t>
  </si>
  <si>
    <t>KFM_HCM_Q08 - B01.05 Dream Home Palace</t>
  </si>
  <si>
    <t>29/05/2026</t>
  </si>
  <si>
    <t>KFM_HCM_Q07 - 0105 B4 Era Town</t>
  </si>
  <si>
    <t>23/05/2026 - 29/05/2026</t>
  </si>
  <si>
    <t>24/05/2026</t>
  </si>
  <si>
    <t>KFM_HCM_Q10 - 7/29 Thành Thái</t>
  </si>
  <si>
    <t>23/05/2026 - 27/05/2026</t>
  </si>
  <si>
    <t>26/05/2026</t>
  </si>
  <si>
    <t>KFM_HCM_Q07 - 43 Bùi Văn Ba</t>
  </si>
  <si>
    <t>KFM_HCM_Q07 - SH16 Eco Green</t>
  </si>
  <si>
    <t>29/05/2026 - 03/06/2026</t>
  </si>
  <si>
    <t>KFM_HCM_TDU - 63 Đường Số 3</t>
  </si>
  <si>
    <t>05/06/2026 - 10/06/2026</t>
  </si>
  <si>
    <t>KFM_HCM_TDU - BA-S03 New City</t>
  </si>
  <si>
    <t>04/06/2026 - 10/06/2026</t>
  </si>
  <si>
    <t>KFM_HCM_Q10 - BB17 Trường Sơn</t>
  </si>
  <si>
    <t>07/06/2026 - 11/06/2026</t>
  </si>
  <si>
    <t>KFM_HCM_BTH - 107 Bình Quới</t>
  </si>
  <si>
    <t>14/06/2026 - 21/06/2026</t>
  </si>
  <si>
    <t>KFM_HCM_Q06 - 126 Chợ Lớn</t>
  </si>
  <si>
    <t>KFM_HCM_TDU - D01.14 MT Eastmark City</t>
  </si>
  <si>
    <t>20/06/2026 - 27/06/2026</t>
  </si>
  <si>
    <t>KFM_HCM_Q07 - A14 The Infinity Riviera Point</t>
  </si>
  <si>
    <t>KFM_HCM_Q07 - B1.01 Chung cư Golden Star</t>
  </si>
  <si>
    <t>KFM_HCM_Q06 - 145 Đường Số 23 Bình Phú</t>
  </si>
  <si>
    <t>KFM_HCM_TDU - 101C Dương Đình Hội</t>
  </si>
  <si>
    <t>KFM_HCM_TPH - 83 Khuông Việt</t>
  </si>
  <si>
    <t>21/07/2026 - 27/07/2026</t>
  </si>
  <si>
    <t>A176</t>
  </si>
  <si>
    <t>KFM_HCM_NBE - A.1.05 Sunrise Riverside</t>
  </si>
  <si>
    <t>A161</t>
  </si>
  <si>
    <t>KFM_HCM_NBE - A2.SH28-30 The Park Residence</t>
  </si>
  <si>
    <t>A178</t>
  </si>
  <si>
    <t>KFM_HCM_NBE - G16 Celesta Rise</t>
  </si>
  <si>
    <t>18/04/2026</t>
  </si>
  <si>
    <t>A177</t>
  </si>
  <si>
    <t>KFM_HCM_Q07 - 1016/21 Chung Cư Sky Garden 2-R1-2</t>
  </si>
  <si>
    <t>A166</t>
  </si>
  <si>
    <t>KFM_HCM_Q07 - Block K Happy Valley</t>
  </si>
  <si>
    <t>A148</t>
  </si>
  <si>
    <t>KFM_HCM_BTH - 127 Tân Cảng</t>
  </si>
  <si>
    <t>A191</t>
  </si>
  <si>
    <t>KFM_HCM_Q01 - 35 Nguyễn Hữu Cầu</t>
  </si>
  <si>
    <t>KFM_HCM_Q03 - 116 Bàn Cờ</t>
  </si>
  <si>
    <t>A179</t>
  </si>
  <si>
    <t>KFM_HCM_TDU - A1.02 Him Lam Phú An</t>
  </si>
  <si>
    <t>A167</t>
  </si>
  <si>
    <t>KFM_HCM_TDU - TM1.15 Chung Cư 9 View</t>
  </si>
  <si>
    <t>A157</t>
  </si>
  <si>
    <t>KFM_HCM_Q06 - B1.00.01 Him Lam Chợ Lớn</t>
  </si>
  <si>
    <t>A192</t>
  </si>
  <si>
    <t>KFM_HCM_BTH - 61 Bùi Đình Túy</t>
  </si>
  <si>
    <t>23/04/2026</t>
  </si>
  <si>
    <t>A164</t>
  </si>
  <si>
    <t>KFM_BDU_DAN - B2.01.05 Tháp B Opal Boulevard</t>
  </si>
  <si>
    <t>A185</t>
  </si>
  <si>
    <t>KFM_HCM_TDU - BS15 Vinhomes Grand Park</t>
  </si>
  <si>
    <t>A170</t>
  </si>
  <si>
    <t>KFM_HCM_TBI - 91 Nguyễn Phúc Chu</t>
  </si>
  <si>
    <t>A169</t>
  </si>
  <si>
    <t>KFM_HCM_TBI - Block A Chung Cư Phúc Yên 2</t>
  </si>
  <si>
    <t>A163</t>
  </si>
  <si>
    <t>KFM_HCM_TPH - S2.0.28 Block A6 Alnata Plus Celadon City</t>
  </si>
  <si>
    <t>A172</t>
  </si>
  <si>
    <t>KFM_HCM_TDU - 560 Nguyễn Duy Trinh</t>
  </si>
  <si>
    <t>Store Code</t>
  </si>
  <si>
    <t>opening_date</t>
  </si>
  <si>
    <t>Store Name</t>
  </si>
  <si>
    <t>GSM Code</t>
  </si>
  <si>
    <t>GSM Name</t>
  </si>
  <si>
    <t>Khai Báo hệ thống =&gt;</t>
  </si>
  <si>
    <t>SHOP</t>
  </si>
  <si>
    <t>area_name</t>
  </si>
  <si>
    <t>region</t>
  </si>
  <si>
    <t>CODE</t>
  </si>
  <si>
    <t>RSM</t>
  </si>
  <si>
    <t>A101</t>
  </si>
  <si>
    <t>HCM 027</t>
  </si>
  <si>
    <t>Regional Sales 3</t>
  </si>
  <si>
    <t>HCM 001</t>
  </si>
  <si>
    <t>Nguyễn Minh Thắng</t>
  </si>
  <si>
    <t>Regional Sales 1</t>
  </si>
  <si>
    <t>CHR</t>
  </si>
  <si>
    <t>30/11/2024</t>
  </si>
  <si>
    <t>HCM 002</t>
  </si>
  <si>
    <t>Huỳnh Thị Tuyết Nhi</t>
  </si>
  <si>
    <t>BCG</t>
  </si>
  <si>
    <t>HCM 003</t>
  </si>
  <si>
    <t>Nguyễn Thuỷ Tiên</t>
  </si>
  <si>
    <t>OPS</t>
  </si>
  <si>
    <t>29/03/2025</t>
  </si>
  <si>
    <t>HCM 017</t>
  </si>
  <si>
    <t>HCM 004</t>
  </si>
  <si>
    <t>Trần Kim Phụng</t>
  </si>
  <si>
    <t>EMR</t>
  </si>
  <si>
    <t>26/10/2024</t>
  </si>
  <si>
    <t>HCM 010</t>
  </si>
  <si>
    <t>Cao Chánh Tuấn</t>
  </si>
  <si>
    <t>HCM 011</t>
  </si>
  <si>
    <t>Nguyễn Thị Tuyết Trinh</t>
  </si>
  <si>
    <t>PHG</t>
  </si>
  <si>
    <t>29/10/2021</t>
  </si>
  <si>
    <t>HCM 012</t>
  </si>
  <si>
    <t>Nguyễn Thị Ngọc Thảo</t>
  </si>
  <si>
    <t>Q50</t>
  </si>
  <si>
    <t>KFM_HCM_BCH - 511 Quốc Lộ 50</t>
  </si>
  <si>
    <t>HCM 013</t>
  </si>
  <si>
    <t>Trần Huỳnh Thơ</t>
  </si>
  <si>
    <t>A140</t>
  </si>
  <si>
    <t>27/12/2025</t>
  </si>
  <si>
    <t>HCM 014</t>
  </si>
  <si>
    <t>Trần Văn Hiếu</t>
  </si>
  <si>
    <t>MZ2</t>
  </si>
  <si>
    <t>13/07/2024</t>
  </si>
  <si>
    <t>HCM 022</t>
  </si>
  <si>
    <t>HCM 015</t>
  </si>
  <si>
    <t>Trần Hữu Vinh</t>
  </si>
  <si>
    <t>Hồng Trọng Nghĩa</t>
  </si>
  <si>
    <t>WGA</t>
  </si>
  <si>
    <t>31/08/2024</t>
  </si>
  <si>
    <t>HCM 023</t>
  </si>
  <si>
    <t>Hứa Thái Hiển</t>
  </si>
  <si>
    <t>MZK</t>
  </si>
  <si>
    <t>14/10/2023</t>
  </si>
  <si>
    <t>HCM 024</t>
  </si>
  <si>
    <t>Phạm Duy</t>
  </si>
  <si>
    <t>A139</t>
  </si>
  <si>
    <t>25/12/2025</t>
  </si>
  <si>
    <t>HCM 028</t>
  </si>
  <si>
    <t>Lâm Văn Tú</t>
  </si>
  <si>
    <t>NTU</t>
  </si>
  <si>
    <t>14/10/2022</t>
  </si>
  <si>
    <t>HCM 029</t>
  </si>
  <si>
    <t>Võ Văn Phi Hùng</t>
  </si>
  <si>
    <t>BTH</t>
  </si>
  <si>
    <t>27/09/2024</t>
  </si>
  <si>
    <t>HCM 031</t>
  </si>
  <si>
    <t>HCM 030</t>
  </si>
  <si>
    <t>Trương Công Nhật Tùng</t>
  </si>
  <si>
    <t>DS7</t>
  </si>
  <si>
    <t>Nguyễn Thị Ngọc Giàu</t>
  </si>
  <si>
    <t>EH3</t>
  </si>
  <si>
    <t>28/12/2024</t>
  </si>
  <si>
    <t>HCM 032</t>
  </si>
  <si>
    <t>Võ Thị Thùy Dương</t>
  </si>
  <si>
    <t>AKR</t>
  </si>
  <si>
    <t>27/01/2024</t>
  </si>
  <si>
    <t>HCM 005</t>
  </si>
  <si>
    <t>Nguyễn Thị Ngọc Bích</t>
  </si>
  <si>
    <t>PKD</t>
  </si>
  <si>
    <t>HCM 006</t>
  </si>
  <si>
    <t>Nguyễn Đình Vũ</t>
  </si>
  <si>
    <t>BQI</t>
  </si>
  <si>
    <t>21/07/2023</t>
  </si>
  <si>
    <t>HCM 007</t>
  </si>
  <si>
    <t>Nguyễn Văn Lâm</t>
  </si>
  <si>
    <t>NTO</t>
  </si>
  <si>
    <t>30/05/2024</t>
  </si>
  <si>
    <t>HCM 008</t>
  </si>
  <si>
    <t>Lê Ngọc Thảo</t>
  </si>
  <si>
    <t>HCM 009</t>
  </si>
  <si>
    <t>Lê Huỳnh Thiện</t>
  </si>
  <si>
    <t>NVD</t>
  </si>
  <si>
    <t>HCM 025</t>
  </si>
  <si>
    <t>HCM 016</t>
  </si>
  <si>
    <t>Lê Nguyễn Ngọc Phượng</t>
  </si>
  <si>
    <t>HCM 018</t>
  </si>
  <si>
    <t>Nguyễn Bữu Trùng Dương</t>
  </si>
  <si>
    <t>VHT</t>
  </si>
  <si>
    <t>Võ Minh Đạt</t>
  </si>
  <si>
    <t>VTG</t>
  </si>
  <si>
    <t>26/08/2022</t>
  </si>
  <si>
    <t>HCM 019</t>
  </si>
  <si>
    <t>Trần Thanh Hiền</t>
  </si>
  <si>
    <t>NHG</t>
  </si>
  <si>
    <t>23/07/2022</t>
  </si>
  <si>
    <t>HCM 020</t>
  </si>
  <si>
    <t>Phạm Hữu Chương</t>
  </si>
  <si>
    <t>TNT</t>
  </si>
  <si>
    <t>19/05/2023</t>
  </si>
  <si>
    <t>HCM 021</t>
  </si>
  <si>
    <t>Hồ Xuân Thịnh</t>
  </si>
  <si>
    <t>A151</t>
  </si>
  <si>
    <t>23/01/2026</t>
  </si>
  <si>
    <t>Đoàn Ngọc Thịnh</t>
  </si>
  <si>
    <t>NVK</t>
  </si>
  <si>
    <t>HCM 026</t>
  </si>
  <si>
    <t>Trần Tiến Thạnh</t>
  </si>
  <si>
    <t>LVT</t>
  </si>
  <si>
    <t>21/07/2022</t>
  </si>
  <si>
    <t>Lê Ngọc Phát</t>
  </si>
  <si>
    <t>NKM</t>
  </si>
  <si>
    <t>HCM 033</t>
  </si>
  <si>
    <t>Huỳnh Ngọc Phương</t>
  </si>
  <si>
    <t>DQH</t>
  </si>
  <si>
    <t>23/02/2023</t>
  </si>
  <si>
    <t>HCM 034</t>
  </si>
  <si>
    <t>Lê Thị Bích Liểu</t>
  </si>
  <si>
    <t>PHI</t>
  </si>
  <si>
    <t>23/09/2022</t>
  </si>
  <si>
    <t>HCM 035</t>
  </si>
  <si>
    <t>Đào Hồng Hiện</t>
  </si>
  <si>
    <t>PVB</t>
  </si>
  <si>
    <t>HCM 036</t>
  </si>
  <si>
    <t>Đặng Đăng Khoa</t>
  </si>
  <si>
    <t>LVL</t>
  </si>
  <si>
    <t>18/11/2022</t>
  </si>
  <si>
    <t>A103</t>
  </si>
  <si>
    <t>A104</t>
  </si>
  <si>
    <t>27/06/2025</t>
  </si>
  <si>
    <t>SSR</t>
  </si>
  <si>
    <t>A106</t>
  </si>
  <si>
    <t>KDG</t>
  </si>
  <si>
    <t>22/03/2025</t>
  </si>
  <si>
    <t>HTC</t>
  </si>
  <si>
    <t>23/08/2024</t>
  </si>
  <si>
    <t>29/11/2025</t>
  </si>
  <si>
    <t>KHI</t>
  </si>
  <si>
    <t>29/07/2022</t>
  </si>
  <si>
    <t>CLN</t>
  </si>
  <si>
    <t>19/07/2024</t>
  </si>
  <si>
    <t>THD</t>
  </si>
  <si>
    <t>ERT</t>
  </si>
  <si>
    <t>24/02/2023</t>
  </si>
  <si>
    <t>LVN</t>
  </si>
  <si>
    <t>A109</t>
  </si>
  <si>
    <t>15/08/2025</t>
  </si>
  <si>
    <t>A129</t>
  </si>
  <si>
    <t>PHL</t>
  </si>
  <si>
    <t>27/10/2022</t>
  </si>
  <si>
    <t>TMY</t>
  </si>
  <si>
    <t>LPM</t>
  </si>
  <si>
    <t>20/12/2024</t>
  </si>
  <si>
    <t>BVB</t>
  </si>
  <si>
    <t>13/05/2022</t>
  </si>
  <si>
    <t>NTT</t>
  </si>
  <si>
    <t>22/01/2022</t>
  </si>
  <si>
    <t>HTP</t>
  </si>
  <si>
    <t>23/01/2021</t>
  </si>
  <si>
    <t>LTC</t>
  </si>
  <si>
    <t>SCV</t>
  </si>
  <si>
    <t>21/12/2024</t>
  </si>
  <si>
    <t>HLR</t>
  </si>
  <si>
    <t>21/09/2024</t>
  </si>
  <si>
    <t>RVS</t>
  </si>
  <si>
    <t>PTN</t>
  </si>
  <si>
    <t>Q7R</t>
  </si>
  <si>
    <t>14/12/2024</t>
  </si>
  <si>
    <t>HV2</t>
  </si>
  <si>
    <t>20/07/2024</t>
  </si>
  <si>
    <t>ECG</t>
  </si>
  <si>
    <t>A141</t>
  </si>
  <si>
    <t>PGS</t>
  </si>
  <si>
    <t>HNN</t>
  </si>
  <si>
    <t>21/03/2025</t>
  </si>
  <si>
    <t>DMR</t>
  </si>
  <si>
    <t>NVT</t>
  </si>
  <si>
    <t>HHG</t>
  </si>
  <si>
    <t>A120</t>
  </si>
  <si>
    <t>19/12/2025</t>
  </si>
  <si>
    <t>TSO</t>
  </si>
  <si>
    <t>20/12/2019</t>
  </si>
  <si>
    <t>NVQ</t>
  </si>
  <si>
    <t>PPZ</t>
  </si>
  <si>
    <t>HNG</t>
  </si>
  <si>
    <t>D10</t>
  </si>
  <si>
    <t>16/08/2024</t>
  </si>
  <si>
    <t>A146</t>
  </si>
  <si>
    <t>HHM</t>
  </si>
  <si>
    <t>25/07/2024</t>
  </si>
  <si>
    <t>HHT</t>
  </si>
  <si>
    <t>LVY</t>
  </si>
  <si>
    <t>28/03/2025</t>
  </si>
  <si>
    <t>A138</t>
  </si>
  <si>
    <t>CLG</t>
  </si>
  <si>
    <t>HMN</t>
  </si>
  <si>
    <t>25/11/2023</t>
  </si>
  <si>
    <t>ACU</t>
  </si>
  <si>
    <t>A105</t>
  </si>
  <si>
    <t>13/06/2025</t>
  </si>
  <si>
    <t>VPC</t>
  </si>
  <si>
    <t>23/11/2024</t>
  </si>
  <si>
    <t>THN</t>
  </si>
  <si>
    <t>A107</t>
  </si>
  <si>
    <t>28/11/2025</t>
  </si>
  <si>
    <t>A102</t>
  </si>
  <si>
    <t>18/12/2025</t>
  </si>
  <si>
    <t>NDH</t>
  </si>
  <si>
    <t>30/08/2024</t>
  </si>
  <si>
    <t>NTD</t>
  </si>
  <si>
    <t>23/03/2023</t>
  </si>
  <si>
    <t>HTN</t>
  </si>
  <si>
    <t>27/12/2024</t>
  </si>
  <si>
    <t>LVH</t>
  </si>
  <si>
    <t>27/11/2025</t>
  </si>
  <si>
    <t>NDT</t>
  </si>
  <si>
    <t>18/03/2023</t>
  </si>
  <si>
    <t>A108</t>
  </si>
  <si>
    <t>A130</t>
  </si>
  <si>
    <t>15/01/2025</t>
  </si>
  <si>
    <t>TNO</t>
  </si>
  <si>
    <t>29/09/2023</t>
  </si>
  <si>
    <t>DXH</t>
  </si>
  <si>
    <t>15/07/2023</t>
  </si>
  <si>
    <t>QHG</t>
  </si>
  <si>
    <t>24/05/2024</t>
  </si>
  <si>
    <t>A137</t>
  </si>
  <si>
    <t>26/12/2025</t>
  </si>
  <si>
    <t>DS3</t>
  </si>
  <si>
    <t>EHS</t>
  </si>
  <si>
    <t>JKD</t>
  </si>
  <si>
    <t>17/08/2024</t>
  </si>
  <si>
    <t>VH7</t>
  </si>
  <si>
    <t>31/05/2025</t>
  </si>
  <si>
    <t>IAP</t>
  </si>
  <si>
    <t>20/04/2024</t>
  </si>
  <si>
    <t>MTE</t>
  </si>
  <si>
    <t>SFR</t>
  </si>
  <si>
    <t>VH6</t>
  </si>
  <si>
    <t>30/05/2025</t>
  </si>
  <si>
    <t>VH5</t>
  </si>
  <si>
    <t>VGP</t>
  </si>
  <si>
    <t>VH4</t>
  </si>
  <si>
    <t>VH3</t>
  </si>
  <si>
    <t>16/12/2023</t>
  </si>
  <si>
    <t>VH2</t>
  </si>
  <si>
    <t>AV4</t>
  </si>
  <si>
    <t>19/10/2024</t>
  </si>
  <si>
    <t>CTH</t>
  </si>
  <si>
    <t>13/04/2024</t>
  </si>
  <si>
    <t>GHA</t>
  </si>
  <si>
    <t>GDU</t>
  </si>
  <si>
    <t>25/08/2023</t>
  </si>
  <si>
    <t>VLA</t>
  </si>
  <si>
    <t>19/01/2024</t>
  </si>
  <si>
    <t>A145</t>
  </si>
  <si>
    <t>17/01/2026</t>
  </si>
  <si>
    <t>CN1</t>
  </si>
  <si>
    <t>25/10/2022</t>
  </si>
  <si>
    <t>A149</t>
  </si>
  <si>
    <t>TVK</t>
  </si>
  <si>
    <t>A143</t>
  </si>
  <si>
    <t>16/01/2026</t>
  </si>
  <si>
    <t>CKO</t>
  </si>
  <si>
    <t>RS4</t>
  </si>
  <si>
    <t>CLD</t>
  </si>
  <si>
    <t>HPD</t>
  </si>
  <si>
    <t>24/08/2024</t>
  </si>
  <si>
    <t>A147</t>
  </si>
  <si>
    <t>30/01/2026</t>
  </si>
  <si>
    <t>A136</t>
  </si>
  <si>
    <t>A131</t>
  </si>
  <si>
    <t>31/01/2026</t>
  </si>
  <si>
    <t>A144</t>
  </si>
  <si>
    <t>A150</t>
  </si>
  <si>
    <t>20/03/2026</t>
  </si>
  <si>
    <t>A165</t>
  </si>
  <si>
    <t>21/03/2026</t>
  </si>
  <si>
    <t>A156</t>
  </si>
  <si>
    <t>A155</t>
  </si>
  <si>
    <t>Timeline phối hợp giữa các bộ phận</t>
  </si>
  <si>
    <t>Bộ phận</t>
  </si>
  <si>
    <t xml:space="preserve">Nội dung </t>
  </si>
  <si>
    <t>Thời gian</t>
  </si>
  <si>
    <t>Gửi thông báo lịch kiểm kê cuối năm</t>
  </si>
  <si>
    <t>D-30</t>
  </si>
  <si>
    <t>Cài đặt lịch kiểm kê trên hệ thống theo siêu thị</t>
  </si>
  <si>
    <t>D-7</t>
  </si>
  <si>
    <t>IC/OPS</t>
  </si>
  <si>
    <t>Nhân sự kiểm soát quy trình kiểm kê nếu có</t>
  </si>
  <si>
    <t>D</t>
  </si>
  <si>
    <t>Phân tích kết quả kiểm kê hàng tháng</t>
  </si>
  <si>
    <t>Ngày 7 hàng tháng</t>
  </si>
  <si>
    <t>SOC</t>
  </si>
  <si>
    <t>Tổ chức kiểm tra tồn kho chính xác sau kiểm kê</t>
  </si>
  <si>
    <t>theo kế hoạch</t>
  </si>
  <si>
    <t>SCM</t>
  </si>
  <si>
    <t>Thông báo NCC xử lý dứt điểm hàng chờ đổi trả</t>
  </si>
  <si>
    <t>D-15</t>
  </si>
  <si>
    <t>SCM/Store</t>
  </si>
  <si>
    <t>Ngưng lệnh chuyển hàng giữa các Siêu thị</t>
  </si>
  <si>
    <t>D-1</t>
  </si>
  <si>
    <t>Training</t>
  </si>
  <si>
    <t>Đào tạo quy trình kiểm kê, hướng dẫn app kiểm kê</t>
  </si>
  <si>
    <t>IT</t>
  </si>
  <si>
    <t>Gửi lịch trực hỗ trợ về hệ thống kiểm kê</t>
  </si>
  <si>
    <t>Nhân sự trực đảm bảo hệ thống kiểm kê ổn định</t>
  </si>
  <si>
    <t>Chặn chuyển hàng từ ST đến ST</t>
  </si>
  <si>
    <t>DC</t>
  </si>
  <si>
    <t>Ngừng giao hàng khô tới Siêu thị trước và trong ngày kiểm kê</t>
  </si>
  <si>
    <t>D-1, D</t>
  </si>
  <si>
    <t>ABA</t>
  </si>
  <si>
    <r>
      <rPr>
        <rFont val="Arial"/>
        <color rgb="FFFF0000"/>
      </rPr>
      <t xml:space="preserve">Giảm lượng </t>
    </r>
    <r>
      <rPr>
        <rFont val="Arial"/>
        <color rgb="FF222222"/>
      </rPr>
      <t>hàng đông tới Siêu thị trong ngày kiểm kê
Thịt cá, rau củ quả về hàng bình thường</t>
    </r>
  </si>
  <si>
    <t>Kế Toán</t>
  </si>
  <si>
    <t>Gửi lịch nhân sự hỗ trợ kiểm tra tình trạng các phiếu chưa hoàn tất trên hệ thống</t>
  </si>
  <si>
    <t>Xác nhận tình trạng hoàn tất của các phiếu trên hệ thống</t>
  </si>
  <si>
    <t>17h, D</t>
  </si>
  <si>
    <t>Chốt thưởng/trách nhiệm kiểm kê theo chính sách nếu có</t>
  </si>
  <si>
    <t>ngày 1 hàng tháng</t>
  </si>
  <si>
    <t>Gửi kế hoạch tuyển thêm CTV hỗ trợ kiểm kê nếu có</t>
  </si>
  <si>
    <t>Kế hoạch cải thiện kết quả kiểm kê</t>
  </si>
  <si>
    <t>Ngày 10 hàng tháng</t>
  </si>
  <si>
    <t>SM</t>
  </si>
  <si>
    <t>Gửi báo cáo kết quả kiểm kê về bộ phận kế toán lưu trữ</t>
  </si>
  <si>
    <t>D+3</t>
  </si>
  <si>
    <t>Giải trình kết quả kiểm kê</t>
  </si>
  <si>
    <t>Xác nhận giải trình kiểm kê</t>
  </si>
  <si>
    <t>D+5</t>
  </si>
  <si>
    <t>C&amp;B</t>
  </si>
  <si>
    <t>Tính thưởng/trách nhiệm kiểm kê theo chính sách nếu có</t>
  </si>
  <si>
    <t>ngày 2 hàng tháng</t>
  </si>
  <si>
    <t>store</t>
  </si>
  <si>
    <t>location_type</t>
  </si>
  <si>
    <t>ASM</t>
  </si>
  <si>
    <t>RIVER</t>
  </si>
  <si>
    <t>HCM 001-Nguyễn Minh Thắng</t>
  </si>
  <si>
    <t>20/12/19</t>
  </si>
  <si>
    <t>STREAM</t>
  </si>
  <si>
    <t>HCM 013-Trần Huỳnh Thơ</t>
  </si>
  <si>
    <t>HCM 015-Trần Hữu Vinh</t>
  </si>
  <si>
    <t>Name Mart</t>
  </si>
  <si>
    <t xml:space="preserve">KHU VỰC </t>
  </si>
  <si>
    <t>KHU VỰC</t>
  </si>
  <si>
    <t>HỌ VÀ TÊN</t>
  </si>
  <si>
    <t>23/1/21</t>
  </si>
  <si>
    <t>HCM 002-Hứa Thái Hiển</t>
  </si>
  <si>
    <t>HCM 1</t>
  </si>
  <si>
    <t>GSM 1</t>
  </si>
  <si>
    <t>29/10/21</t>
  </si>
  <si>
    <t>HCM 2</t>
  </si>
  <si>
    <t>GSM 2</t>
  </si>
  <si>
    <t>22/1/22</t>
  </si>
  <si>
    <t>HCM 003-Nguyễn Thuỷ Tiên</t>
  </si>
  <si>
    <t>HCM 3</t>
  </si>
  <si>
    <t>GSM 3</t>
  </si>
  <si>
    <t>HCM 016-Cao Chánh Tuấn</t>
  </si>
  <si>
    <t>HCM 4</t>
  </si>
  <si>
    <t>GSM 4</t>
  </si>
  <si>
    <t>30/4/22</t>
  </si>
  <si>
    <t>LAKE</t>
  </si>
  <si>
    <t>HCM 008-Huỳnh Ngọc Phương</t>
  </si>
  <si>
    <t>HCM 5</t>
  </si>
  <si>
    <t>GSM 5</t>
  </si>
  <si>
    <t>13/5/22</t>
  </si>
  <si>
    <t>HCM 6</t>
  </si>
  <si>
    <t>GSM 6</t>
  </si>
  <si>
    <t>21/7/22</t>
  </si>
  <si>
    <t>HCM 7</t>
  </si>
  <si>
    <t>GSM 7</t>
  </si>
  <si>
    <t>23/7/22</t>
  </si>
  <si>
    <t>HCM 8</t>
  </si>
  <si>
    <t>GSM 8</t>
  </si>
  <si>
    <t>29/7/22</t>
  </si>
  <si>
    <t>HCM 9</t>
  </si>
  <si>
    <t>GSM 9</t>
  </si>
  <si>
    <t>HCM 014-Trần Văn Hiếu</t>
  </si>
  <si>
    <t>HCM 10</t>
  </si>
  <si>
    <t>GSM 10</t>
  </si>
  <si>
    <t>Phan Ngọc Trí</t>
  </si>
  <si>
    <t>HCM 005-Trương Công Nhật Tùng</t>
  </si>
  <si>
    <t>HCM 11</t>
  </si>
  <si>
    <t>GSM 11</t>
  </si>
  <si>
    <t>26/8/22</t>
  </si>
  <si>
    <t>HCM 12</t>
  </si>
  <si>
    <t>GSM 12</t>
  </si>
  <si>
    <t>23/9/22</t>
  </si>
  <si>
    <t>HCM 009-Lâm Văn Tú</t>
  </si>
  <si>
    <t>HCM 13</t>
  </si>
  <si>
    <t>GSM 13</t>
  </si>
  <si>
    <t>14/10/22</t>
  </si>
  <si>
    <t>HCM 012-Nguyễn Thị Ngọc Thảo</t>
  </si>
  <si>
    <t>DS10</t>
  </si>
  <si>
    <t>HCM 14</t>
  </si>
  <si>
    <t>GSM 14</t>
  </si>
  <si>
    <t>25/10/22</t>
  </si>
  <si>
    <t>D67</t>
  </si>
  <si>
    <t>KFM_HCM_Q07 - 10 Đường Số 67 Tân Kiểng - MINI</t>
  </si>
  <si>
    <t>HCM 15</t>
  </si>
  <si>
    <t>GSM 15</t>
  </si>
  <si>
    <t>27/10/22</t>
  </si>
  <si>
    <t>HCM 004-Trần Kim Phụng</t>
  </si>
  <si>
    <t>HCM 16</t>
  </si>
  <si>
    <t>GSM 16</t>
  </si>
  <si>
    <t>18/11/22</t>
  </si>
  <si>
    <t>HCM 17</t>
  </si>
  <si>
    <t>GSM 17</t>
  </si>
  <si>
    <t>Nguyễn Bửu Trùng Dương</t>
  </si>
  <si>
    <t>HCM 18</t>
  </si>
  <si>
    <t>GSM 18</t>
  </si>
  <si>
    <t>23/2/23</t>
  </si>
  <si>
    <t>HCM 19</t>
  </si>
  <si>
    <t>GSM 19</t>
  </si>
  <si>
    <t>24/2/23</t>
  </si>
  <si>
    <t>HCM 20</t>
  </si>
  <si>
    <t>GSM 20</t>
  </si>
  <si>
    <t>18/3/23</t>
  </si>
  <si>
    <t>HCM 020-Phạm Hữu Chương</t>
  </si>
  <si>
    <t>23/3/23</t>
  </si>
  <si>
    <t>HCM 019-Trần Thanh Hiền</t>
  </si>
  <si>
    <t>19/5/23</t>
  </si>
  <si>
    <t>KFM_HCM_BCH - 511 Quốc Lộ 50 - MART</t>
  </si>
  <si>
    <t>15/7/23</t>
  </si>
  <si>
    <t>HCM 006-Nguyễn Đình Vũ</t>
  </si>
  <si>
    <t>21/7/23</t>
  </si>
  <si>
    <t>HCM 018-Võ Minh Đạt</t>
  </si>
  <si>
    <t>KFM_BDU_DAN - 27 Tân Lập- MINI</t>
  </si>
  <si>
    <t>25/8/23</t>
  </si>
  <si>
    <t>29/9/23</t>
  </si>
  <si>
    <t>14/10/23</t>
  </si>
  <si>
    <t>HCM 017-Nguyễn Bữu Trùng Dương</t>
  </si>
  <si>
    <t>25/11/23</t>
  </si>
  <si>
    <t>16/12/23</t>
  </si>
  <si>
    <t>HCM 007-Nguyễn Văn Lâm</t>
  </si>
  <si>
    <t>19/1/24</t>
  </si>
  <si>
    <t>27/1/24</t>
  </si>
  <si>
    <t>HCM 011-Nguyễn Thị Tuyết Trinh</t>
  </si>
  <si>
    <t xml:space="preserve">PVB </t>
  </si>
  <si>
    <t>13/4/24</t>
  </si>
  <si>
    <t>20/4/24</t>
  </si>
  <si>
    <t>24/5/24</t>
  </si>
  <si>
    <t>30/5/24</t>
  </si>
  <si>
    <t>13/7/24</t>
  </si>
  <si>
    <t>19/7/24</t>
  </si>
  <si>
    <t>20/7/24</t>
  </si>
  <si>
    <t>25/7/24</t>
  </si>
  <si>
    <t>16/8/24</t>
  </si>
  <si>
    <t>17/8/24</t>
  </si>
  <si>
    <t>23/8/24</t>
  </si>
  <si>
    <t>24/8/24</t>
  </si>
  <si>
    <t>30/8/24</t>
  </si>
  <si>
    <t>31/8/24</t>
  </si>
  <si>
    <t>21/9/24</t>
  </si>
  <si>
    <t>27/9/24</t>
  </si>
  <si>
    <t>19/10/24</t>
  </si>
  <si>
    <t>26/10/24</t>
  </si>
  <si>
    <t>23/11/24</t>
  </si>
  <si>
    <t>30/11/24</t>
  </si>
  <si>
    <t>LVS</t>
  </si>
  <si>
    <t>14/12/24</t>
  </si>
  <si>
    <t>20/12/24</t>
  </si>
  <si>
    <t>21/12/24</t>
  </si>
  <si>
    <t>27/12/24</t>
  </si>
  <si>
    <t>28/12/24</t>
  </si>
  <si>
    <t>21/3/25</t>
  </si>
  <si>
    <t>22/3/25</t>
  </si>
  <si>
    <t>28/3/25</t>
  </si>
  <si>
    <t>29/3/25</t>
  </si>
  <si>
    <t>19/4/25</t>
  </si>
  <si>
    <t>24/5/25</t>
  </si>
  <si>
    <t>31/5/25</t>
  </si>
  <si>
    <t>13/6/25</t>
  </si>
  <si>
    <t>27/6/25</t>
  </si>
  <si>
    <t>A100</t>
  </si>
  <si>
    <t xml:space="preserve">VH7 </t>
  </si>
  <si>
    <t>15/8/25</t>
  </si>
  <si>
    <t>KFM_HCM_Q1 - 93 Cô Giang - MINI</t>
  </si>
  <si>
    <t>18/10/25</t>
  </si>
  <si>
    <t>Nội dung</t>
  </si>
  <si>
    <t>Hiện tại</t>
  </si>
  <si>
    <t>Thay đổi</t>
  </si>
  <si>
    <t>Ngày D</t>
  </si>
  <si>
    <t>Ngày thực hiện Kiểm tổng</t>
  </si>
  <si>
    <t>Ngày hệ thống đổ mã kiểm kê tổng</t>
  </si>
  <si>
    <t>Ngành hàng kiểm kê</t>
  </si>
  <si>
    <t>Chia làm 2 đợt:
+ Fresh food
+ Các ngành hàng còn lại</t>
  </si>
  <si>
    <t>Chia làm 5 ngành hàng theo Cale level 1. Ngày D hệ thống đổ 5 phiếu kiểm kê tổng cho 5 ngành hàng</t>
  </si>
  <si>
    <t>Ngày kiểm kê</t>
  </si>
  <si>
    <t>- Các ngành hàng: theo ngày cố định được xác định trước (D)
- Fresh food: D-3</t>
  </si>
  <si>
    <t xml:space="preserve">Siêu thị chọn ngày kiểm kê tương ứng 5 ngành hàng trong vòng 7 ngày kể từ ngày nhận được phiếu kiểm tổng bởi hệ thống
</t>
  </si>
  <si>
    <t>Ngày hết hạn của phiếu kiểm</t>
  </si>
  <si>
    <t>7 ngày</t>
  </si>
  <si>
    <r>
      <rPr>
        <rFont val="Arial"/>
        <color theme="1"/>
      </rPr>
      <t xml:space="preserve">- Phiếu chưa kiểm: 7 ngày
- Phiếu bắt đầu nhập số đếm của 1 sản phẩm đầu tiên:
+ FMCG: 4h, ngày C + 2
+ 4 ngành hàng còn lại: 4h, ngày C+1
</t>
    </r>
    <r>
      <rPr>
        <rFont val="Arial"/>
        <i/>
        <color theme="1"/>
      </rPr>
      <t>(C là ngày bắt đầu nhập số đếm)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</si>
</sst>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&quot;-&quot;mm&quot;-&quot;yy"/>
    <numFmt numFmtId="165" formatCode="mm/dd/yyyy"/>
    <numFmt numFmtId="166" formatCode="m/d/yyyy"/>
    <numFmt numFmtId="167" formatCode="mm/dd"/>
    <numFmt numFmtId="168" formatCode="m/d"/>
    <numFmt numFmtId="169" formatCode="M/d/yyyy"/>
    <numFmt numFmtId="170" formatCode="m/d/yy"/>
    <numFmt numFmtId="171" formatCode="dd&quot;/&quot;mm&quot;/&quot;yyyy"/>
    <numFmt numFmtId="172" formatCode="d&quot;/&quot;mm&quot;/&quot;yyyy"/>
  </numFmts>
  <fonts count="39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b/>
      <color theme="1"/>
      <name val="Arial"/>
    </font>
    <font>
      <b/>
      <color rgb="FFFF0000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color rgb="FFFFFFFF"/>
      <name val="Arial"/>
      <scheme val="minor"/>
    </font>
    <font>
      <b/>
      <color rgb="FF34A853"/>
      <name val="Arial"/>
      <scheme val="minor"/>
    </font>
    <font>
      <b/>
      <color rgb="FFFF0000"/>
      <name val="Arial"/>
    </font>
    <font>
      <b/>
      <color rgb="FFFFFF00"/>
      <name val="Arial"/>
    </font>
    <font>
      <color rgb="FFFF0000"/>
      <name val="Arial"/>
    </font>
    <font>
      <sz val="12.0"/>
      <color theme="1"/>
      <name val="Calibri"/>
    </font>
    <font>
      <sz val="12.0"/>
      <color theme="1"/>
      <name val="'Times New Roman'"/>
    </font>
    <font>
      <b/>
      <strike/>
      <color rgb="FFFF0000"/>
      <name val="Arial"/>
      <scheme val="minor"/>
    </font>
    <font>
      <color rgb="FFFFFFFF"/>
      <name val="Arial"/>
    </font>
    <font>
      <b/>
      <strike/>
      <color rgb="FFFF0000"/>
      <name val="Arial"/>
    </font>
    <font>
      <b/>
      <color rgb="FF000000"/>
      <name val="Arial"/>
      <scheme val="minor"/>
    </font>
    <font>
      <sz val="11.0"/>
      <color theme="1"/>
      <name val="Aptos Narrow"/>
    </font>
    <font/>
    <font>
      <b/>
      <sz val="11.0"/>
      <color rgb="FF000000"/>
      <name val="Calibri"/>
    </font>
    <font>
      <b/>
      <sz val="11.0"/>
      <color theme="1"/>
      <name val="Times New Roman"/>
    </font>
    <font>
      <b/>
      <sz val="11.0"/>
      <color theme="1"/>
      <name val="Arial"/>
      <scheme val="minor"/>
    </font>
    <font>
      <b/>
      <color rgb="FF000000"/>
      <name val="&quot;Times New Roman&quot;"/>
    </font>
    <font>
      <b/>
      <sz val="11.0"/>
      <color rgb="FF000000"/>
      <name val="&quot;Times New Roman&quot;"/>
    </font>
    <font>
      <sz val="11.0"/>
      <color theme="1"/>
      <name val="Times New Roman"/>
    </font>
    <font>
      <sz val="11.0"/>
      <color theme="1"/>
      <name val="Arial"/>
      <scheme val="minor"/>
    </font>
    <font>
      <sz val="11.0"/>
      <color rgb="FF000000"/>
      <name val="&quot;Times New Roman&quot;"/>
    </font>
    <font>
      <color rgb="FF000000"/>
      <name val="&quot;Times New Roman&quot;"/>
    </font>
    <font>
      <sz val="11.0"/>
      <color theme="1"/>
      <name val="Calibri"/>
    </font>
    <font>
      <b/>
      <sz val="12.0"/>
      <color theme="1"/>
      <name val="Arial"/>
    </font>
    <font>
      <color rgb="FF222222"/>
      <name val="Arial"/>
    </font>
    <font>
      <color theme="1"/>
      <name val="Calibri"/>
    </font>
    <font>
      <sz val="12.0"/>
      <color rgb="FF000000"/>
      <name val="Calibri"/>
    </font>
    <font>
      <b/>
      <sz val="14.0"/>
      <color rgb="FF002060"/>
      <name val="Calibri"/>
    </font>
    <font>
      <b/>
      <sz val="11.0"/>
      <color theme="1"/>
      <name val="Calibri"/>
    </font>
    <font>
      <b/>
      <color theme="1"/>
      <name val="Calibri"/>
    </font>
    <font>
      <sz val="12.0"/>
      <color theme="1"/>
      <name val="Aptos Narrow"/>
    </font>
  </fonts>
  <fills count="2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00FF"/>
        <bgColor rgb="FF0000FF"/>
      </patternFill>
    </fill>
    <fill>
      <patternFill patternType="solid">
        <fgColor rgb="FFFCE5CD"/>
        <bgColor rgb="FFFCE5CD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theme="5"/>
        <bgColor theme="5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wrapText="1"/>
    </xf>
    <xf borderId="0" fillId="0" fontId="7" numFmtId="0" xfId="0" applyAlignment="1" applyFont="1">
      <alignment shrinkToFit="0" wrapText="1"/>
    </xf>
    <xf borderId="0" fillId="2" fontId="3" numFmtId="0" xfId="0" applyAlignment="1" applyFill="1" applyFont="1">
      <alignment horizontal="center" readingOrder="0" shrinkToFit="0" vertical="center" wrapText="1"/>
    </xf>
    <xf borderId="1" fillId="0" fontId="1" numFmtId="0" xfId="0" applyAlignment="1" applyBorder="1" applyFont="1">
      <alignment shrinkToFit="0" vertical="bottom" wrapText="1"/>
    </xf>
    <xf quotePrefix="1" borderId="1" fillId="0" fontId="1" numFmtId="0" xfId="0" applyAlignment="1" applyBorder="1" applyFont="1">
      <alignment shrinkToFit="0" vertical="bottom" wrapText="1"/>
    </xf>
    <xf borderId="0" fillId="3" fontId="8" numFmtId="0" xfId="0" applyAlignment="1" applyFill="1" applyFont="1">
      <alignment readingOrder="0"/>
    </xf>
    <xf borderId="1" fillId="0" fontId="1" numFmtId="0" xfId="0" applyAlignment="1" applyBorder="1" applyFont="1">
      <alignment readingOrder="0" shrinkToFit="0" vertical="bottom" wrapText="1"/>
    </xf>
    <xf quotePrefix="1" borderId="1" fillId="0" fontId="1" numFmtId="0" xfId="0" applyAlignment="1" applyBorder="1" applyFont="1">
      <alignment readingOrder="0" shrinkToFit="0" vertical="bottom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4" fontId="3" numFmtId="0" xfId="0" applyAlignment="1" applyFill="1" applyFont="1">
      <alignment horizontal="left" shrinkToFit="0" vertical="center" wrapText="1"/>
    </xf>
    <xf borderId="0" fillId="4" fontId="3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5" fontId="6" numFmtId="0" xfId="0" applyAlignment="1" applyFill="1" applyFont="1">
      <alignment horizontal="left" readingOrder="0" shrinkToFit="0" vertical="center" wrapText="1"/>
    </xf>
    <xf borderId="0" fillId="6" fontId="6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vertical="bottom" wrapText="1"/>
    </xf>
    <xf borderId="0" fillId="7" fontId="1" numFmtId="0" xfId="0" applyAlignment="1" applyFill="1" applyFont="1">
      <alignment shrinkToFit="0" vertical="bottom" wrapText="1"/>
    </xf>
    <xf borderId="0" fillId="7" fontId="3" numFmtId="164" xfId="0" applyAlignment="1" applyFont="1" applyNumberFormat="1">
      <alignment horizontal="center" shrinkToFit="0" vertical="bottom" wrapText="1"/>
    </xf>
    <xf borderId="0" fillId="7" fontId="1" numFmtId="164" xfId="0" applyAlignment="1" applyFont="1" applyNumberFormat="1">
      <alignment horizontal="center" readingOrder="0" shrinkToFit="0" vertical="bottom" wrapText="1"/>
    </xf>
    <xf borderId="0" fillId="7" fontId="1" numFmtId="164" xfId="0" applyAlignment="1" applyFont="1" applyNumberFormat="1">
      <alignment horizontal="center" shrinkToFit="0" vertical="bottom" wrapText="1"/>
    </xf>
    <xf borderId="0" fillId="7" fontId="1" numFmtId="0" xfId="0" applyAlignment="1" applyFont="1">
      <alignment horizontal="right" readingOrder="0" shrinkToFit="0" vertical="bottom" wrapText="1"/>
    </xf>
    <xf borderId="0" fillId="0" fontId="5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3" numFmtId="164" xfId="0" applyAlignment="1" applyFont="1" applyNumberFormat="1">
      <alignment horizontal="center" shrinkToFit="0" vertical="bottom" wrapText="1"/>
    </xf>
    <xf borderId="0" fillId="0" fontId="1" numFmtId="164" xfId="0" applyAlignment="1" applyFont="1" applyNumberFormat="1">
      <alignment horizontal="center" readingOrder="0" shrinkToFit="0" vertical="bottom" wrapText="1"/>
    </xf>
    <xf borderId="0" fillId="0" fontId="1" numFmtId="164" xfId="0" applyAlignment="1" applyFont="1" applyNumberFormat="1">
      <alignment horizontal="center" shrinkToFit="0" vertical="bottom" wrapText="1"/>
    </xf>
    <xf borderId="0" fillId="0" fontId="1" numFmtId="0" xfId="0" applyAlignment="1" applyFont="1">
      <alignment horizontal="right" readingOrder="0" shrinkToFit="0" vertical="bottom" wrapText="1"/>
    </xf>
    <xf borderId="0" fillId="8" fontId="1" numFmtId="165" xfId="0" applyAlignment="1" applyFill="1" applyFont="1" applyNumberFormat="1">
      <alignment horizontal="right" readingOrder="0" shrinkToFit="0" vertical="bottom" wrapText="1"/>
    </xf>
    <xf borderId="0" fillId="9" fontId="3" numFmtId="164" xfId="0" applyAlignment="1" applyFill="1" applyFont="1" applyNumberFormat="1">
      <alignment horizontal="center" readingOrder="0" shrinkToFit="0" vertical="bottom" wrapText="1"/>
    </xf>
    <xf borderId="0" fillId="9" fontId="1" numFmtId="164" xfId="0" applyAlignment="1" applyFont="1" applyNumberFormat="1">
      <alignment horizontal="center" readingOrder="0" shrinkToFit="0" vertical="bottom" wrapText="1"/>
    </xf>
    <xf borderId="0" fillId="9" fontId="1" numFmtId="164" xfId="0" applyAlignment="1" applyFont="1" applyNumberFormat="1">
      <alignment horizontal="center" shrinkToFit="0" vertical="bottom" wrapText="1"/>
    </xf>
    <xf borderId="0" fillId="9" fontId="1" numFmtId="0" xfId="0" applyAlignment="1" applyFont="1">
      <alignment horizontal="right" readingOrder="0" shrinkToFit="0" vertical="bottom" wrapText="1"/>
    </xf>
    <xf borderId="0" fillId="0" fontId="7" numFmtId="165" xfId="0" applyAlignment="1" applyFont="1" applyNumberFormat="1">
      <alignment readingOrder="0"/>
    </xf>
    <xf borderId="0" fillId="8" fontId="9" numFmtId="0" xfId="0" applyAlignment="1" applyFont="1">
      <alignment readingOrder="0"/>
    </xf>
    <xf borderId="0" fillId="0" fontId="1" numFmtId="165" xfId="0" applyAlignment="1" applyFont="1" applyNumberFormat="1">
      <alignment horizontal="right" readingOrder="0" shrinkToFit="0" vertical="bottom" wrapText="1"/>
    </xf>
    <xf borderId="0" fillId="0" fontId="10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readingOrder="0" shrinkToFit="0" wrapText="1"/>
    </xf>
    <xf borderId="0" fillId="10" fontId="11" numFmtId="164" xfId="0" applyAlignment="1" applyFill="1" applyFont="1" applyNumberFormat="1">
      <alignment horizontal="center" shrinkToFit="0" vertical="bottom" wrapText="1"/>
    </xf>
    <xf borderId="0" fillId="0" fontId="7" numFmtId="0" xfId="0" applyAlignment="1" applyFont="1">
      <alignment readingOrder="0" shrinkToFit="0" wrapText="1"/>
    </xf>
    <xf borderId="0" fillId="0" fontId="1" numFmtId="166" xfId="0" applyAlignment="1" applyFont="1" applyNumberFormat="1">
      <alignment horizontal="right" readingOrder="0" shrinkToFit="0" vertical="bottom" wrapText="1"/>
    </xf>
    <xf borderId="0" fillId="8" fontId="1" numFmtId="0" xfId="0" applyAlignment="1" applyFont="1">
      <alignment shrinkToFit="0" vertical="bottom" wrapText="1"/>
    </xf>
    <xf borderId="0" fillId="0" fontId="5" numFmtId="0" xfId="0" applyAlignment="1" applyFont="1">
      <alignment horizontal="center" readingOrder="0" vertical="center"/>
    </xf>
    <xf borderId="0" fillId="8" fontId="7" numFmtId="165" xfId="0" applyAlignment="1" applyFont="1" applyNumberFormat="1">
      <alignment readingOrder="0"/>
    </xf>
    <xf borderId="0" fillId="0" fontId="7" numFmtId="167" xfId="0" applyAlignment="1" applyFont="1" applyNumberFormat="1">
      <alignment readingOrder="0"/>
    </xf>
    <xf borderId="0" fillId="0" fontId="12" numFmtId="0" xfId="0" applyAlignment="1" applyFont="1">
      <alignment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7" fontId="3" numFmtId="164" xfId="0" applyAlignment="1" applyFont="1" applyNumberFormat="1">
      <alignment horizontal="center" readingOrder="0" shrinkToFit="0" vertical="bottom" wrapText="1"/>
    </xf>
    <xf borderId="0" fillId="11" fontId="1" numFmtId="164" xfId="0" applyAlignment="1" applyFill="1" applyFont="1" applyNumberFormat="1">
      <alignment horizontal="center" readingOrder="0" shrinkToFit="0" vertical="bottom" wrapText="1"/>
    </xf>
    <xf borderId="0" fillId="11" fontId="1" numFmtId="164" xfId="0" applyAlignment="1" applyFont="1" applyNumberFormat="1">
      <alignment horizontal="center" shrinkToFit="0" vertical="bottom" wrapText="1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readingOrder="0"/>
    </xf>
    <xf borderId="0" fillId="12" fontId="10" numFmtId="0" xfId="0" applyAlignment="1" applyFill="1" applyFont="1">
      <alignment horizontal="center" readingOrder="0" shrinkToFit="0" vertical="bottom" wrapText="1"/>
    </xf>
    <xf borderId="0" fillId="10" fontId="1" numFmtId="164" xfId="0" applyAlignment="1" applyFont="1" applyNumberFormat="1">
      <alignment horizontal="center" shrinkToFit="0" vertical="bottom" wrapText="1"/>
    </xf>
    <xf borderId="0" fillId="9" fontId="14" numFmtId="0" xfId="0" applyAlignment="1" applyFont="1">
      <alignment readingOrder="0"/>
    </xf>
    <xf borderId="0" fillId="0" fontId="4" numFmtId="0" xfId="0" applyAlignment="1" applyFont="1">
      <alignment readingOrder="0"/>
    </xf>
    <xf borderId="0" fillId="13" fontId="3" numFmtId="164" xfId="0" applyAlignment="1" applyFill="1" applyFont="1" applyNumberFormat="1">
      <alignment horizontal="center" readingOrder="0" shrinkToFit="0" vertical="bottom" wrapText="1"/>
    </xf>
    <xf borderId="0" fillId="13" fontId="1" numFmtId="0" xfId="0" applyAlignment="1" applyFont="1">
      <alignment horizontal="right" readingOrder="0" shrinkToFit="0" vertical="bottom" wrapText="1"/>
    </xf>
    <xf borderId="0" fillId="14" fontId="4" numFmtId="0" xfId="0" applyAlignment="1" applyFill="1" applyFont="1">
      <alignment readingOrder="0"/>
    </xf>
    <xf borderId="0" fillId="0" fontId="7" numFmtId="165" xfId="0" applyAlignment="1" applyFont="1" applyNumberFormat="1">
      <alignment horizontal="left" readingOrder="0"/>
    </xf>
    <xf borderId="0" fillId="0" fontId="3" numFmtId="164" xfId="0" applyAlignment="1" applyFont="1" applyNumberFormat="1">
      <alignment horizontal="center" readingOrder="0" shrinkToFit="0" vertical="bottom" wrapText="1"/>
    </xf>
    <xf borderId="0" fillId="8" fontId="1" numFmtId="0" xfId="0" applyAlignment="1" applyFont="1">
      <alignment horizontal="right" readingOrder="0" shrinkToFit="0" vertical="bottom" wrapText="1"/>
    </xf>
    <xf borderId="0" fillId="7" fontId="12" numFmtId="0" xfId="0" applyAlignment="1" applyFont="1">
      <alignment shrinkToFit="0" vertical="bottom" wrapText="1"/>
    </xf>
    <xf borderId="0" fillId="0" fontId="7" numFmtId="0" xfId="0" applyAlignment="1" applyFont="1">
      <alignment vertical="center"/>
    </xf>
    <xf borderId="0" fillId="15" fontId="15" numFmtId="0" xfId="0" applyFill="1" applyFont="1"/>
    <xf borderId="0" fillId="7" fontId="3" numFmtId="0" xfId="0" applyAlignment="1" applyFont="1">
      <alignment horizontal="center" readingOrder="0" shrinkToFit="0" vertical="bottom" wrapText="1"/>
    </xf>
    <xf borderId="0" fillId="7" fontId="1" numFmtId="0" xfId="0" applyAlignment="1" applyFont="1">
      <alignment horizontal="center" readingOrder="0" shrinkToFit="0" vertical="bottom" wrapText="1"/>
    </xf>
    <xf borderId="0" fillId="8" fontId="1" numFmtId="0" xfId="0" applyAlignment="1" applyFont="1">
      <alignment horizontal="right" readingOrder="0" shrinkToFit="0" vertical="center" wrapText="1"/>
    </xf>
    <xf borderId="0" fillId="12" fontId="3" numFmtId="164" xfId="0" applyAlignment="1" applyFont="1" applyNumberFormat="1">
      <alignment horizontal="center" readingOrder="0" shrinkToFit="0" vertical="bottom" wrapText="1"/>
    </xf>
    <xf borderId="0" fillId="12" fontId="3" numFmtId="164" xfId="0" applyAlignment="1" applyFont="1" applyNumberFormat="1">
      <alignment horizontal="center" shrinkToFit="0" vertical="bottom" wrapText="1"/>
    </xf>
    <xf borderId="0" fillId="10" fontId="16" numFmtId="164" xfId="0" applyAlignment="1" applyFont="1" applyNumberFormat="1">
      <alignment horizontal="center" shrinkToFit="0" vertical="bottom" wrapText="1"/>
    </xf>
    <xf borderId="0" fillId="15" fontId="17" numFmtId="0" xfId="0" applyAlignment="1" applyFont="1">
      <alignment horizontal="center" shrinkToFit="0" vertical="bottom" wrapText="1"/>
    </xf>
    <xf borderId="0" fillId="15" fontId="17" numFmtId="0" xfId="0" applyAlignment="1" applyFont="1">
      <alignment shrinkToFit="0" vertical="bottom" wrapText="1"/>
    </xf>
    <xf borderId="0" fillId="15" fontId="17" numFmtId="164" xfId="0" applyAlignment="1" applyFont="1" applyNumberFormat="1">
      <alignment horizontal="center" shrinkToFit="0" vertical="bottom" wrapText="1"/>
    </xf>
    <xf borderId="0" fillId="15" fontId="17" numFmtId="164" xfId="0" applyAlignment="1" applyFont="1" applyNumberFormat="1">
      <alignment horizontal="center" readingOrder="0" shrinkToFit="0" vertical="bottom" wrapText="1"/>
    </xf>
    <xf borderId="0" fillId="15" fontId="17" numFmtId="0" xfId="0" applyAlignment="1" applyFont="1">
      <alignment horizontal="right" readingOrder="0" shrinkToFit="0" vertical="bottom" wrapText="1"/>
    </xf>
    <xf borderId="0" fillId="15" fontId="15" numFmtId="0" xfId="0" applyAlignment="1" applyFont="1">
      <alignment horizontal="center" readingOrder="0"/>
    </xf>
    <xf borderId="0" fillId="15" fontId="15" numFmtId="0" xfId="0" applyAlignment="1" applyFont="1">
      <alignment readingOrder="0"/>
    </xf>
    <xf borderId="0" fillId="0" fontId="7" numFmtId="0" xfId="0" applyAlignment="1" applyFont="1">
      <alignment readingOrder="0" shrinkToFit="0" vertical="center" wrapText="1"/>
    </xf>
    <xf borderId="0" fillId="9" fontId="5" numFmtId="0" xfId="0" applyAlignment="1" applyFont="1">
      <alignment horizontal="center" readingOrder="0"/>
    </xf>
    <xf borderId="0" fillId="9" fontId="7" numFmtId="0" xfId="0" applyAlignment="1" applyFont="1">
      <alignment readingOrder="0"/>
    </xf>
    <xf borderId="0" fillId="16" fontId="7" numFmtId="0" xfId="0" applyAlignment="1" applyFill="1" applyFont="1">
      <alignment readingOrder="0"/>
    </xf>
    <xf borderId="0" fillId="0" fontId="5" numFmtId="0" xfId="0" applyFont="1"/>
    <xf borderId="0" fillId="11" fontId="7" numFmtId="0" xfId="0" applyAlignment="1" applyFont="1">
      <alignment readingOrder="0"/>
    </xf>
    <xf borderId="0" fillId="17" fontId="7" numFmtId="0" xfId="0" applyAlignment="1" applyFill="1" applyFont="1">
      <alignment readingOrder="0"/>
    </xf>
    <xf borderId="0" fillId="0" fontId="7" numFmtId="0" xfId="0" applyAlignment="1" applyFont="1">
      <alignment readingOrder="0" vertical="center"/>
    </xf>
    <xf borderId="0" fillId="14" fontId="1" numFmtId="0" xfId="0" applyAlignment="1" applyFont="1">
      <alignment horizontal="right" readingOrder="0" shrinkToFit="0" vertical="center" wrapText="1"/>
    </xf>
    <xf borderId="0" fillId="8" fontId="1" numFmtId="165" xfId="0" applyAlignment="1" applyFont="1" applyNumberFormat="1">
      <alignment horizontal="right" readingOrder="0" shrinkToFit="0" vertical="center" wrapText="1"/>
    </xf>
    <xf borderId="0" fillId="8" fontId="7" numFmtId="0" xfId="0" applyAlignment="1" applyFont="1">
      <alignment readingOrder="0"/>
    </xf>
    <xf borderId="0" fillId="15" fontId="17" numFmtId="165" xfId="0" applyAlignment="1" applyFont="1" applyNumberFormat="1">
      <alignment horizontal="right" readingOrder="0" shrinkToFit="0" vertical="bottom" wrapText="1"/>
    </xf>
    <xf borderId="0" fillId="13" fontId="7" numFmtId="0" xfId="0" applyAlignment="1" applyFont="1">
      <alignment readingOrder="0"/>
    </xf>
    <xf borderId="2" fillId="7" fontId="1" numFmtId="0" xfId="0" applyAlignment="1" applyBorder="1" applyFont="1">
      <alignment shrinkToFit="0" vertical="bottom" wrapText="1"/>
    </xf>
    <xf borderId="0" fillId="10" fontId="16" numFmtId="0" xfId="0" applyAlignment="1" applyFont="1">
      <alignment horizontal="center" readingOrder="0" shrinkToFit="0" vertical="bottom" wrapText="1"/>
    </xf>
    <xf borderId="0" fillId="7" fontId="1" numFmtId="165" xfId="0" applyAlignment="1" applyFont="1" applyNumberFormat="1">
      <alignment horizontal="right" readingOrder="0" shrinkToFit="0" vertical="bottom" wrapText="1"/>
    </xf>
    <xf borderId="0" fillId="18" fontId="5" numFmtId="0" xfId="0" applyAlignment="1" applyFill="1" applyFont="1">
      <alignment horizontal="center" readingOrder="0"/>
    </xf>
    <xf borderId="0" fillId="18" fontId="18" numFmtId="0" xfId="0" applyAlignment="1" applyFont="1">
      <alignment readingOrder="0"/>
    </xf>
    <xf borderId="0" fillId="18" fontId="7" numFmtId="0" xfId="0" applyFont="1"/>
    <xf borderId="0" fillId="5" fontId="7" numFmtId="0" xfId="0" applyAlignment="1" applyFont="1">
      <alignment readingOrder="0"/>
    </xf>
    <xf borderId="0" fillId="12" fontId="3" numFmtId="0" xfId="0" applyAlignment="1" applyFont="1">
      <alignment horizontal="center" shrinkToFit="0" vertical="bottom" wrapText="1"/>
    </xf>
    <xf borderId="0" fillId="0" fontId="7" numFmtId="166" xfId="0" applyAlignment="1" applyFont="1" applyNumberFormat="1">
      <alignment readingOrder="0"/>
    </xf>
    <xf borderId="0" fillId="12" fontId="3" numFmtId="0" xfId="0" applyAlignment="1" applyFont="1">
      <alignment horizontal="center" readingOrder="0" shrinkToFit="0" vertical="bottom" wrapText="1"/>
    </xf>
    <xf borderId="0" fillId="9" fontId="3" numFmtId="0" xfId="0" applyAlignment="1" applyFont="1">
      <alignment horizontal="center" shrinkToFit="0" vertical="bottom" wrapText="1"/>
    </xf>
    <xf borderId="0" fillId="7" fontId="1" numFmtId="166" xfId="0" applyAlignment="1" applyFont="1" applyNumberFormat="1">
      <alignment horizontal="right" readingOrder="0" shrinkToFit="0" vertical="bottom" wrapText="1"/>
    </xf>
    <xf borderId="1" fillId="0" fontId="19" numFmtId="0" xfId="0" applyAlignment="1" applyBorder="1" applyFont="1">
      <alignment vertical="bottom"/>
    </xf>
    <xf borderId="0" fillId="13" fontId="3" numFmtId="0" xfId="0" applyAlignment="1" applyFont="1">
      <alignment horizontal="center" readingOrder="0" shrinkToFit="0" vertical="bottom" wrapText="1"/>
    </xf>
    <xf borderId="0" fillId="0" fontId="7" numFmtId="168" xfId="0" applyAlignment="1" applyFont="1" applyNumberFormat="1">
      <alignment readingOrder="0"/>
    </xf>
    <xf borderId="0" fillId="0" fontId="1" numFmtId="169" xfId="0" applyAlignment="1" applyFont="1" applyNumberFormat="1">
      <alignment horizontal="right" shrinkToFit="0" vertical="bottom" wrapText="1"/>
    </xf>
    <xf borderId="0" fillId="0" fontId="7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shrinkToFit="0" wrapText="1"/>
    </xf>
    <xf borderId="0" fillId="14" fontId="3" numFmtId="0" xfId="0" applyAlignment="1" applyFont="1">
      <alignment horizontal="center" readingOrder="0" shrinkToFit="0" vertical="center" wrapText="1"/>
    </xf>
    <xf borderId="2" fillId="19" fontId="5" numFmtId="0" xfId="0" applyAlignment="1" applyBorder="1" applyFill="1" applyFont="1">
      <alignment horizontal="center" readingOrder="0" shrinkToFit="0" wrapText="1"/>
    </xf>
    <xf borderId="3" fillId="0" fontId="20" numFmtId="0" xfId="0" applyBorder="1" applyFont="1"/>
    <xf borderId="4" fillId="0" fontId="20" numFmtId="0" xfId="0" applyBorder="1" applyFont="1"/>
    <xf borderId="0" fillId="8" fontId="10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center" shrinkToFit="0" vertical="center" wrapText="1"/>
    </xf>
    <xf borderId="0" fillId="19" fontId="3" numFmtId="0" xfId="0" applyAlignment="1" applyFont="1">
      <alignment horizontal="center" readingOrder="0" shrinkToFit="0" vertical="center" wrapText="1"/>
    </xf>
    <xf borderId="0" fillId="9" fontId="3" numFmtId="0" xfId="0" applyAlignment="1" applyFont="1">
      <alignment horizontal="center" readingOrder="0" shrinkToFit="0" vertical="center" wrapText="1"/>
    </xf>
    <xf borderId="0" fillId="13" fontId="3" numFmtId="0" xfId="0" applyAlignment="1" applyFont="1">
      <alignment horizontal="center" readingOrder="0" shrinkToFit="0" vertical="center" wrapText="1"/>
    </xf>
    <xf borderId="0" fillId="9" fontId="21" numFmtId="0" xfId="0" applyAlignment="1" applyFont="1">
      <alignment horizontal="center" readingOrder="0" shrinkToFit="0" vertical="center" wrapText="1"/>
    </xf>
    <xf borderId="0" fillId="10" fontId="6" numFmtId="0" xfId="0" applyAlignment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13" fontId="6" numFmtId="0" xfId="0" applyAlignment="1" applyFont="1">
      <alignment horizontal="center"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20" fontId="1" numFmtId="0" xfId="0" applyAlignment="1" applyFill="1" applyFont="1">
      <alignment horizontal="center" readingOrder="0" shrinkToFit="0" vertical="bottom" wrapText="1"/>
    </xf>
    <xf borderId="0" fillId="20" fontId="1" numFmtId="169" xfId="0" applyAlignment="1" applyFont="1" applyNumberFormat="1">
      <alignment horizontal="left" shrinkToFit="0" vertical="bottom" wrapText="1"/>
    </xf>
    <xf borderId="0" fillId="20" fontId="1" numFmtId="0" xfId="0" applyAlignment="1" applyFont="1">
      <alignment shrinkToFit="0" vertical="bottom" wrapText="1"/>
    </xf>
    <xf borderId="0" fillId="20" fontId="3" numFmtId="170" xfId="0" applyAlignment="1" applyFont="1" applyNumberFormat="1">
      <alignment horizontal="center" shrinkToFit="0" vertical="bottom" wrapText="1"/>
    </xf>
    <xf borderId="0" fillId="20" fontId="3" numFmtId="0" xfId="0" applyAlignment="1" applyFont="1">
      <alignment shrinkToFit="0" vertical="bottom" wrapText="1"/>
    </xf>
    <xf borderId="0" fillId="20" fontId="1" numFmtId="0" xfId="0" applyAlignment="1" applyFont="1">
      <alignment readingOrder="0" shrinkToFit="0" vertical="bottom" wrapText="1"/>
    </xf>
    <xf borderId="0" fillId="20" fontId="3" numFmtId="164" xfId="0" applyAlignment="1" applyFont="1" applyNumberFormat="1">
      <alignment horizontal="center" readingOrder="0" shrinkToFit="0" vertical="bottom" wrapText="1"/>
    </xf>
    <xf borderId="0" fillId="20" fontId="3" numFmtId="0" xfId="0" applyAlignment="1" applyFont="1">
      <alignment horizontal="center" readingOrder="0" shrinkToFit="0" vertical="bottom" wrapText="1"/>
    </xf>
    <xf borderId="0" fillId="20" fontId="3" numFmtId="171" xfId="0" applyAlignment="1" applyFont="1" applyNumberFormat="1">
      <alignment horizontal="center" readingOrder="0" shrinkToFit="0" vertical="bottom" wrapText="1"/>
    </xf>
    <xf borderId="0" fillId="20" fontId="1" numFmtId="164" xfId="0" applyAlignment="1" applyFont="1" applyNumberFormat="1">
      <alignment horizontal="center" readingOrder="0" shrinkToFit="0" vertical="bottom" wrapText="1"/>
    </xf>
    <xf borderId="0" fillId="20" fontId="1" numFmtId="164" xfId="0" applyAlignment="1" applyFont="1" applyNumberFormat="1">
      <alignment horizontal="center" shrinkToFit="0" vertical="bottom" wrapText="1"/>
    </xf>
    <xf borderId="0" fillId="20" fontId="7" numFmtId="0" xfId="0" applyFont="1"/>
    <xf borderId="0" fillId="20" fontId="5" numFmtId="0" xfId="0" applyAlignment="1" applyFont="1">
      <alignment horizontal="center"/>
    </xf>
    <xf borderId="0" fillId="20" fontId="10" numFmtId="0" xfId="0" applyAlignment="1" applyFont="1">
      <alignment horizontal="left" readingOrder="0" shrinkToFit="0" vertical="bottom" wrapText="1"/>
    </xf>
    <xf borderId="0" fillId="20" fontId="1" numFmtId="0" xfId="0" applyAlignment="1" applyFont="1">
      <alignment horizontal="right" readingOrder="0" shrinkToFit="0" vertical="bottom" wrapText="1"/>
    </xf>
    <xf borderId="0" fillId="20" fontId="3" numFmtId="172" xfId="0" applyAlignment="1" applyFont="1" applyNumberFormat="1">
      <alignment horizontal="center" readingOrder="0" shrinkToFit="0" vertical="bottom" wrapText="1"/>
    </xf>
    <xf borderId="0" fillId="20" fontId="1" numFmtId="166" xfId="0" applyAlignment="1" applyFont="1" applyNumberFormat="1">
      <alignment horizontal="right" readingOrder="0" shrinkToFit="0" vertical="bottom" wrapText="1"/>
    </xf>
    <xf borderId="0" fillId="20" fontId="7" numFmtId="0" xfId="0" applyAlignment="1" applyFont="1">
      <alignment readingOrder="0"/>
    </xf>
    <xf borderId="0" fillId="20" fontId="1" numFmtId="165" xfId="0" applyAlignment="1" applyFont="1" applyNumberFormat="1">
      <alignment horizontal="right" readingOrder="0" shrinkToFit="0" vertical="bottom" wrapText="1"/>
    </xf>
    <xf borderId="0" fillId="20" fontId="5" numFmtId="165" xfId="0" applyAlignment="1" applyFont="1" applyNumberFormat="1">
      <alignment horizontal="center" readingOrder="0"/>
    </xf>
    <xf borderId="0" fillId="20" fontId="7" numFmtId="165" xfId="0" applyAlignment="1" applyFont="1" applyNumberFormat="1">
      <alignment readingOrder="0"/>
    </xf>
    <xf borderId="0" fillId="20" fontId="7" numFmtId="165" xfId="0" applyAlignment="1" applyFont="1" applyNumberFormat="1">
      <alignment horizontal="left" readingOrder="0"/>
    </xf>
    <xf borderId="0" fillId="20" fontId="5" numFmtId="0" xfId="0" applyAlignment="1" applyFont="1">
      <alignment horizontal="center" readingOrder="0"/>
    </xf>
    <xf borderId="0" fillId="20" fontId="5" numFmtId="0" xfId="0" applyFont="1"/>
    <xf borderId="0" fillId="20" fontId="5" numFmtId="0" xfId="0" applyAlignment="1" applyFont="1">
      <alignment horizontal="left" readingOrder="0"/>
    </xf>
    <xf borderId="0" fillId="20" fontId="5" numFmtId="0" xfId="0" applyAlignment="1" applyFont="1">
      <alignment horizontal="left"/>
    </xf>
    <xf borderId="0" fillId="20" fontId="7" numFmtId="166" xfId="0" applyAlignment="1" applyFont="1" applyNumberFormat="1">
      <alignment readingOrder="0"/>
    </xf>
    <xf borderId="0" fillId="20" fontId="7" numFmtId="167" xfId="0" applyAlignment="1" applyFont="1" applyNumberFormat="1">
      <alignment readingOrder="0"/>
    </xf>
    <xf borderId="0" fillId="20" fontId="3" numFmtId="0" xfId="0" applyAlignment="1" applyFont="1">
      <alignment horizontal="center" shrinkToFit="0" vertical="bottom" wrapText="1"/>
    </xf>
    <xf borderId="0" fillId="21" fontId="1" numFmtId="0" xfId="0" applyAlignment="1" applyFill="1" applyFont="1">
      <alignment readingOrder="0" shrinkToFit="0" vertical="bottom" wrapText="1"/>
    </xf>
    <xf borderId="0" fillId="21" fontId="3" numFmtId="171" xfId="0" applyAlignment="1" applyFont="1" applyNumberFormat="1">
      <alignment horizontal="center" readingOrder="0" shrinkToFit="0" vertical="bottom" wrapText="1"/>
    </xf>
    <xf borderId="0" fillId="21" fontId="5" numFmtId="165" xfId="0" applyAlignment="1" applyFont="1" applyNumberFormat="1">
      <alignment horizontal="center" readingOrder="0"/>
    </xf>
    <xf borderId="0" fillId="20" fontId="15" numFmtId="0" xfId="0" applyAlignment="1" applyFont="1">
      <alignment readingOrder="0"/>
    </xf>
    <xf borderId="0" fillId="20" fontId="17" numFmtId="164" xfId="0" applyAlignment="1" applyFont="1" applyNumberFormat="1">
      <alignment horizontal="center" shrinkToFit="0" vertical="bottom" wrapText="1"/>
    </xf>
    <xf borderId="0" fillId="20" fontId="15" numFmtId="0" xfId="0" applyFont="1"/>
    <xf borderId="0" fillId="20" fontId="8" numFmtId="0" xfId="0" applyAlignment="1" applyFont="1">
      <alignment readingOrder="0"/>
    </xf>
    <xf borderId="0" fillId="20" fontId="11" numFmtId="164" xfId="0" applyAlignment="1" applyFont="1" applyNumberFormat="1">
      <alignment horizontal="center" shrinkToFit="0" vertical="bottom" wrapText="1"/>
    </xf>
    <xf borderId="0" fillId="20" fontId="16" numFmtId="0" xfId="0" applyAlignment="1" applyFont="1">
      <alignment horizontal="center" readingOrder="0" shrinkToFit="0" vertical="bottom" wrapText="1"/>
    </xf>
    <xf borderId="0" fillId="10" fontId="5" numFmtId="0" xfId="0" applyAlignment="1" applyFont="1">
      <alignment horizontal="left" readingOrder="0"/>
    </xf>
    <xf borderId="0" fillId="20" fontId="9" numFmtId="0" xfId="0" applyAlignment="1" applyFont="1">
      <alignment readingOrder="0"/>
    </xf>
    <xf borderId="0" fillId="20" fontId="16" numFmtId="164" xfId="0" applyAlignment="1" applyFont="1" applyNumberFormat="1">
      <alignment horizontal="center" shrinkToFit="0" vertical="bottom" wrapText="1"/>
    </xf>
    <xf borderId="0" fillId="12" fontId="3" numFmtId="0" xfId="0" applyAlignment="1" applyFont="1">
      <alignment horizontal="center" readingOrder="0" shrinkToFit="0" vertical="center" wrapText="1"/>
    </xf>
    <xf borderId="0" fillId="20" fontId="1" numFmtId="0" xfId="0" applyAlignment="1" applyFont="1">
      <alignment horizontal="left" readingOrder="0" shrinkToFit="0" vertical="bottom" wrapText="1"/>
    </xf>
    <xf borderId="0" fillId="20" fontId="1" numFmtId="0" xfId="0" applyAlignment="1" applyFont="1">
      <alignment horizontal="right" readingOrder="0" shrinkToFit="0" vertical="center" wrapText="1"/>
    </xf>
    <xf borderId="0" fillId="20" fontId="7" numFmtId="0" xfId="0" applyAlignment="1" applyFont="1">
      <alignment readingOrder="0" vertical="center"/>
    </xf>
    <xf borderId="0" fillId="20" fontId="1" numFmtId="165" xfId="0" applyAlignment="1" applyFont="1" applyNumberFormat="1">
      <alignment horizontal="right" readingOrder="0" shrinkToFit="0" vertical="center" wrapText="1"/>
    </xf>
    <xf borderId="0" fillId="20" fontId="4" numFmtId="0" xfId="0" applyAlignment="1" applyFont="1">
      <alignment readingOrder="0"/>
    </xf>
    <xf borderId="0" fillId="20" fontId="7" numFmtId="0" xfId="0" applyAlignment="1" applyFont="1">
      <alignment vertical="center"/>
    </xf>
    <xf borderId="0" fillId="20" fontId="17" numFmtId="165" xfId="0" applyAlignment="1" applyFont="1" applyNumberFormat="1">
      <alignment horizontal="right" readingOrder="0" shrinkToFit="0" vertical="bottom" wrapText="1"/>
    </xf>
    <xf borderId="0" fillId="20" fontId="7" numFmtId="168" xfId="0" applyAlignment="1" applyFont="1" applyNumberFormat="1">
      <alignment readingOrder="0"/>
    </xf>
    <xf borderId="0" fillId="20" fontId="7" numFmtId="0" xfId="0" applyAlignment="1" applyFont="1">
      <alignment shrinkToFit="0" wrapText="1"/>
    </xf>
    <xf borderId="0" fillId="20" fontId="1" numFmtId="165" xfId="0" applyAlignment="1" applyFont="1" applyNumberFormat="1">
      <alignment horizontal="left" readingOrder="0" shrinkToFit="0" vertical="bottom" wrapText="1"/>
    </xf>
    <xf borderId="0" fillId="0" fontId="7" numFmtId="0" xfId="0" applyAlignment="1" applyFont="1">
      <alignment horizontal="left" readingOrder="0" shrinkToFit="0" wrapText="1"/>
    </xf>
    <xf borderId="0" fillId="0" fontId="7" numFmtId="165" xfId="0" applyAlignment="1" applyFont="1" applyNumberFormat="1">
      <alignment horizontal="left" readingOrder="0" shrinkToFit="0" wrapText="1"/>
    </xf>
    <xf borderId="0" fillId="0" fontId="7" numFmtId="171" xfId="0" applyAlignment="1" applyFont="1" applyNumberFormat="1">
      <alignment horizontal="center" shrinkToFit="0" wrapText="1"/>
    </xf>
    <xf borderId="1" fillId="12" fontId="22" numFmtId="0" xfId="0" applyAlignment="1" applyBorder="1" applyFont="1">
      <alignment horizontal="center" vertical="center"/>
    </xf>
    <xf borderId="1" fillId="12" fontId="22" numFmtId="0" xfId="0" applyAlignment="1" applyBorder="1" applyFont="1">
      <alignment horizontal="left" readingOrder="0" vertical="center"/>
    </xf>
    <xf borderId="1" fillId="12" fontId="22" numFmtId="169" xfId="0" applyAlignment="1" applyBorder="1" applyFont="1" applyNumberFormat="1">
      <alignment horizontal="left" readingOrder="0" vertical="center"/>
    </xf>
    <xf borderId="1" fillId="12" fontId="22" numFmtId="0" xfId="0" applyAlignment="1" applyBorder="1" applyFont="1">
      <alignment horizontal="center" readingOrder="0" vertical="center"/>
    </xf>
    <xf borderId="1" fillId="9" fontId="23" numFmtId="0" xfId="0" applyAlignment="1" applyBorder="1" applyFont="1">
      <alignment readingOrder="0" shrinkToFit="0" vertical="center" wrapText="1"/>
    </xf>
    <xf borderId="1" fillId="9" fontId="21" numFmtId="0" xfId="0" applyAlignment="1" applyBorder="1" applyFont="1">
      <alignment horizontal="center" readingOrder="0" shrinkToFit="0" vertical="center" wrapText="0"/>
    </xf>
    <xf borderId="1" fillId="9" fontId="24" numFmtId="0" xfId="0" applyAlignment="1" applyBorder="1" applyFont="1">
      <alignment readingOrder="0" shrinkToFit="0" vertical="bottom" wrapText="0"/>
    </xf>
    <xf borderId="1" fillId="9" fontId="25" numFmtId="0" xfId="0" applyAlignment="1" applyBorder="1" applyFont="1">
      <alignment readingOrder="0" shrinkToFit="0" vertical="bottom" wrapText="0"/>
    </xf>
    <xf borderId="1" fillId="0" fontId="22" numFmtId="3" xfId="0" applyAlignment="1" applyBorder="1" applyFont="1" applyNumberFormat="1">
      <alignment horizontal="center" vertical="bottom"/>
    </xf>
    <xf borderId="1" fillId="0" fontId="26" numFmtId="170" xfId="0" applyAlignment="1" applyBorder="1" applyFont="1" applyNumberFormat="1">
      <alignment horizontal="left" readingOrder="0" vertical="bottom"/>
    </xf>
    <xf borderId="1" fillId="0" fontId="26" numFmtId="169" xfId="0" applyAlignment="1" applyBorder="1" applyFont="1" applyNumberFormat="1">
      <alignment horizontal="left" readingOrder="0" vertical="bottom"/>
    </xf>
    <xf borderId="1" fillId="0" fontId="26" numFmtId="0" xfId="0" applyAlignment="1" applyBorder="1" applyFont="1">
      <alignment readingOrder="0" vertical="bottom"/>
    </xf>
    <xf borderId="1" fillId="0" fontId="26" numFmtId="0" xfId="0" applyBorder="1" applyFont="1"/>
    <xf borderId="1" fillId="0" fontId="26" numFmtId="0" xfId="0" applyAlignment="1" applyBorder="1" applyFont="1">
      <alignment horizontal="left" readingOrder="0" vertical="bottom"/>
    </xf>
    <xf borderId="1" fillId="0" fontId="27" numFmtId="0" xfId="0" applyBorder="1" applyFont="1"/>
    <xf borderId="1" fillId="0" fontId="6" numFmtId="0" xfId="0" applyAlignment="1" applyBorder="1" applyFont="1">
      <alignment readingOrder="0" shrinkToFit="0" vertical="bottom" wrapText="0"/>
    </xf>
    <xf borderId="1" fillId="0" fontId="28" numFmtId="0" xfId="0" applyAlignment="1" applyBorder="1" applyFont="1">
      <alignment readingOrder="0" shrinkToFit="0" vertical="bottom" wrapText="0"/>
    </xf>
    <xf borderId="1" fillId="0" fontId="29" numFmtId="0" xfId="0" applyAlignment="1" applyBorder="1" applyFont="1">
      <alignment readingOrder="0" shrinkToFit="0" vertical="bottom" wrapText="0"/>
    </xf>
    <xf borderId="1" fillId="0" fontId="30" numFmtId="0" xfId="0" applyAlignment="1" applyBorder="1" applyFont="1">
      <alignment readingOrder="0"/>
    </xf>
    <xf borderId="1" fillId="0" fontId="7" numFmtId="0" xfId="0" applyBorder="1" applyFont="1"/>
    <xf borderId="1" fillId="0" fontId="7" numFmtId="0" xfId="0" applyAlignment="1" applyBorder="1" applyFont="1">
      <alignment readingOrder="0"/>
    </xf>
    <xf borderId="0" fillId="0" fontId="30" numFmtId="0" xfId="0" applyAlignment="1" applyFont="1">
      <alignment vertical="bottom"/>
    </xf>
    <xf borderId="0" fillId="0" fontId="30" numFmtId="0" xfId="0" applyAlignment="1" applyFont="1">
      <alignment horizontal="left" vertical="bottom"/>
    </xf>
    <xf borderId="0" fillId="0" fontId="30" numFmtId="169" xfId="0" applyAlignment="1" applyFont="1" applyNumberFormat="1">
      <alignment horizontal="left" vertical="bottom"/>
    </xf>
    <xf borderId="0" fillId="0" fontId="1" numFmtId="0" xfId="0" applyAlignment="1" applyFont="1">
      <alignment vertical="bottom"/>
    </xf>
    <xf borderId="0" fillId="0" fontId="31" numFmtId="0" xfId="0" applyAlignment="1" applyFont="1">
      <alignment horizontal="center" vertical="bottom"/>
    </xf>
    <xf borderId="1" fillId="22" fontId="3" numFmtId="0" xfId="0" applyAlignment="1" applyBorder="1" applyFill="1" applyFont="1">
      <alignment horizontal="center" shrinkToFit="0" vertical="bottom" wrapText="1"/>
    </xf>
    <xf borderId="1" fillId="0" fontId="32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0" fontId="32" numFmtId="0" xfId="0" applyAlignment="1" applyBorder="1" applyFont="1">
      <alignment readingOrder="0" shrinkToFit="0" wrapText="1"/>
    </xf>
    <xf borderId="1" fillId="0" fontId="12" numFmtId="0" xfId="0" applyAlignment="1" applyBorder="1" applyFont="1">
      <alignment shrinkToFit="0" wrapText="1"/>
    </xf>
    <xf borderId="0" fillId="0" fontId="7" numFmtId="0" xfId="0" applyAlignment="1" applyFont="1">
      <alignment horizontal="center"/>
    </xf>
    <xf borderId="0" fillId="0" fontId="33" numFmtId="0" xfId="0" applyAlignment="1" applyFont="1">
      <alignment vertical="bottom"/>
    </xf>
    <xf borderId="0" fillId="0" fontId="34" numFmtId="0" xfId="0" applyAlignment="1" applyFont="1">
      <alignment readingOrder="0" shrinkToFit="0" vertical="bottom" wrapText="0"/>
    </xf>
    <xf borderId="0" fillId="0" fontId="34" numFmtId="170" xfId="0" applyAlignment="1" applyFont="1" applyNumberFormat="1">
      <alignment horizontal="right" readingOrder="0" shrinkToFit="0" vertical="bottom" wrapText="0"/>
    </xf>
    <xf borderId="0" fillId="0" fontId="7" numFmtId="0" xfId="0" applyFont="1"/>
    <xf borderId="0" fillId="0" fontId="34" numFmtId="0" xfId="0" applyAlignment="1" applyFont="1">
      <alignment horizontal="right" readingOrder="0" shrinkToFit="0" vertical="bottom" wrapText="0"/>
    </xf>
    <xf borderId="1" fillId="23" fontId="35" numFmtId="0" xfId="0" applyAlignment="1" applyBorder="1" applyFill="1" applyFont="1">
      <alignment horizontal="center"/>
    </xf>
    <xf borderId="1" fillId="23" fontId="35" numFmtId="0" xfId="0" applyBorder="1" applyFont="1"/>
    <xf borderId="5" fillId="23" fontId="35" numFmtId="0" xfId="0" applyAlignment="1" applyBorder="1" applyFont="1">
      <alignment horizontal="center"/>
    </xf>
    <xf borderId="1" fillId="15" fontId="36" numFmtId="0" xfId="0" applyAlignment="1" applyBorder="1" applyFont="1">
      <alignment horizontal="center" vertical="bottom"/>
    </xf>
    <xf borderId="4" fillId="15" fontId="36" numFmtId="0" xfId="0" applyAlignment="1" applyBorder="1" applyFont="1">
      <alignment horizontal="center" vertical="bottom"/>
    </xf>
    <xf borderId="2" fillId="0" fontId="30" numFmtId="0" xfId="0" applyAlignment="1" applyBorder="1" applyFont="1">
      <alignment horizontal="center" vertical="bottom"/>
    </xf>
    <xf borderId="2" fillId="0" fontId="19" numFmtId="0" xfId="0" applyAlignment="1" applyBorder="1" applyFont="1">
      <alignment vertical="bottom"/>
    </xf>
    <xf borderId="1" fillId="0" fontId="37" numFmtId="0" xfId="0" applyAlignment="1" applyBorder="1" applyFont="1">
      <alignment horizontal="center" vertical="bottom"/>
    </xf>
    <xf borderId="6" fillId="0" fontId="36" numFmtId="0" xfId="0" applyAlignment="1" applyBorder="1" applyFont="1">
      <alignment vertical="bottom"/>
    </xf>
    <xf borderId="7" fillId="0" fontId="36" numFmtId="0" xfId="0" applyAlignment="1" applyBorder="1" applyFont="1">
      <alignment vertical="bottom"/>
    </xf>
    <xf borderId="7" fillId="0" fontId="31" numFmtId="0" xfId="0" applyAlignment="1" applyBorder="1" applyFont="1">
      <alignment vertical="bottom"/>
    </xf>
    <xf borderId="0" fillId="0" fontId="34" numFmtId="0" xfId="0" applyAlignment="1" applyFont="1">
      <alignment shrinkToFit="0" vertical="bottom" wrapText="0"/>
    </xf>
    <xf borderId="2" fillId="0" fontId="30" numFmtId="0" xfId="0" applyAlignment="1" applyBorder="1" applyFont="1">
      <alignment vertical="bottom"/>
    </xf>
    <xf borderId="2" fillId="0" fontId="38" numFmtId="0" xfId="0" applyAlignment="1" applyBorder="1" applyFont="1">
      <alignment vertical="bottom"/>
    </xf>
    <xf borderId="2" fillId="0" fontId="30" numFmtId="0" xfId="0" applyAlignment="1" applyBorder="1" applyFont="1">
      <alignment horizontal="center" readingOrder="0" vertical="bottom"/>
    </xf>
    <xf borderId="1" fillId="0" fontId="37" numFmtId="0" xfId="0" applyAlignment="1" applyBorder="1" applyFont="1">
      <alignment horizontal="center" readingOrder="0" vertical="bottom"/>
    </xf>
    <xf borderId="1" fillId="24" fontId="5" numFmtId="0" xfId="0" applyAlignment="1" applyBorder="1" applyFill="1" applyFont="1">
      <alignment horizontal="center" readingOrder="0" shrinkToFit="0" wrapText="1"/>
    </xf>
    <xf borderId="1" fillId="0" fontId="7" numFmtId="0" xfId="0" applyAlignment="1" applyBorder="1" applyFont="1">
      <alignment readingOrder="0" shrinkToFit="0" vertical="center" wrapText="1"/>
    </xf>
    <xf quotePrefix="1" borderId="1" fillId="0" fontId="7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4.13"/>
    <col customWidth="1" min="2" max="2" width="21.5"/>
    <col customWidth="1" min="3" max="3" width="7.5"/>
    <col customWidth="1" min="4" max="4" width="7.13"/>
    <col customWidth="1" min="5" max="5" width="49.88"/>
    <col customWidth="1" min="6" max="6" width="11.88"/>
    <col customWidth="1" min="7" max="7" width="12.13"/>
    <col customWidth="1" min="8" max="8" width="12.0"/>
    <col customWidth="1" min="9" max="9" width="20.88"/>
    <col customWidth="1" min="10" max="10" width="9.0"/>
    <col customWidth="1" min="11" max="11" width="14.75"/>
    <col customWidth="1" min="12" max="12" width="14.38"/>
    <col customWidth="1" min="13" max="13" width="25.13"/>
    <col customWidth="1" min="14" max="14" width="16.5"/>
    <col customWidth="1" min="15" max="15" width="11.38"/>
    <col customWidth="1" min="16" max="16" width="10.75"/>
    <col customWidth="1" min="17" max="17" width="9.75"/>
    <col customWidth="1" min="18" max="19" width="10.13"/>
    <col customWidth="1" min="20" max="20" width="12.13"/>
    <col customWidth="1" min="21" max="23" width="10.13"/>
  </cols>
  <sheetData>
    <row r="1">
      <c r="A1" s="1"/>
      <c r="B1" s="2"/>
      <c r="C1" s="2"/>
      <c r="D1" s="2"/>
      <c r="E1" s="3" t="s">
        <v>0</v>
      </c>
      <c r="F1" s="4"/>
      <c r="G1" s="4"/>
      <c r="H1" s="5"/>
      <c r="I1" s="5" t="s">
        <v>1</v>
      </c>
      <c r="J1" s="6"/>
    </row>
    <row r="2">
      <c r="A2" s="7"/>
      <c r="B2" s="7"/>
      <c r="C2" s="7"/>
      <c r="D2" s="7"/>
      <c r="E2" s="4" t="s">
        <v>2</v>
      </c>
      <c r="H2" s="8"/>
      <c r="I2" s="8" t="s">
        <v>3</v>
      </c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>
      <c r="A3" s="7"/>
      <c r="B3" s="11" t="s">
        <v>4</v>
      </c>
      <c r="C3" s="7"/>
      <c r="D3" s="7"/>
      <c r="E3" s="12" t="s">
        <v>5</v>
      </c>
      <c r="F3" s="13" t="s">
        <v>6</v>
      </c>
      <c r="H3" s="8"/>
      <c r="I3" s="8"/>
      <c r="J3" s="9"/>
      <c r="K3" s="10"/>
      <c r="L3" s="10"/>
      <c r="M3" s="14" t="s">
        <v>7</v>
      </c>
      <c r="N3" s="10"/>
      <c r="O3" s="10"/>
      <c r="P3" s="10"/>
      <c r="Q3" s="10"/>
      <c r="R3" s="10"/>
      <c r="S3" s="10"/>
      <c r="T3" s="10"/>
      <c r="U3" s="10"/>
      <c r="V3" s="10"/>
      <c r="W3" s="10"/>
    </row>
    <row r="4">
      <c r="A4" s="7"/>
      <c r="C4" s="7"/>
      <c r="D4" s="7"/>
      <c r="E4" s="15" t="s">
        <v>8</v>
      </c>
      <c r="F4" s="16" t="s">
        <v>9</v>
      </c>
      <c r="H4" s="8" t="s">
        <v>10</v>
      </c>
      <c r="I4" s="8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>
      <c r="A5" s="7"/>
      <c r="C5" s="7"/>
      <c r="D5" s="7"/>
      <c r="E5" s="15" t="s">
        <v>11</v>
      </c>
      <c r="F5" s="16" t="s">
        <v>12</v>
      </c>
      <c r="H5" s="8"/>
      <c r="I5" s="8"/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>
      <c r="A6" s="7"/>
      <c r="C6" s="7"/>
      <c r="D6" s="7"/>
      <c r="E6" s="15" t="s">
        <v>13</v>
      </c>
      <c r="F6" s="16" t="s">
        <v>14</v>
      </c>
      <c r="H6" s="8"/>
      <c r="I6" s="8"/>
      <c r="J6" s="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>
      <c r="A7" s="7"/>
      <c r="C7" s="7"/>
      <c r="D7" s="7"/>
      <c r="E7" s="15" t="s">
        <v>15</v>
      </c>
      <c r="F7" s="16" t="s">
        <v>16</v>
      </c>
      <c r="G7" s="17"/>
      <c r="H7" s="8"/>
      <c r="I7" s="8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>
      <c r="A8" s="7"/>
      <c r="B8" s="7"/>
      <c r="C8" s="7"/>
      <c r="D8" s="7"/>
      <c r="E8" s="7"/>
      <c r="F8" s="7"/>
      <c r="G8" s="17"/>
      <c r="H8" s="8"/>
      <c r="I8" s="8"/>
      <c r="J8" s="18" t="s">
        <v>17</v>
      </c>
      <c r="K8" s="19" t="s">
        <v>18</v>
      </c>
      <c r="L8" s="10"/>
      <c r="M8" s="20" t="s">
        <v>19</v>
      </c>
      <c r="N8" s="19" t="s">
        <v>20</v>
      </c>
      <c r="O8" s="10"/>
      <c r="P8" s="10"/>
      <c r="Q8" s="10"/>
      <c r="R8" s="10"/>
      <c r="S8" s="10"/>
      <c r="T8" s="10"/>
      <c r="U8" s="10"/>
      <c r="V8" s="10"/>
      <c r="W8" s="10"/>
    </row>
    <row r="9">
      <c r="A9" s="21" t="s">
        <v>21</v>
      </c>
      <c r="B9" s="22" t="s">
        <v>19</v>
      </c>
      <c r="C9" s="21" t="s">
        <v>22</v>
      </c>
      <c r="D9" s="21" t="s">
        <v>23</v>
      </c>
      <c r="E9" s="21" t="s">
        <v>24</v>
      </c>
      <c r="F9" s="22" t="s">
        <v>25</v>
      </c>
      <c r="G9" s="22" t="s">
        <v>26</v>
      </c>
      <c r="H9" s="22" t="s">
        <v>27</v>
      </c>
      <c r="I9" s="22" t="s">
        <v>28</v>
      </c>
      <c r="J9" s="23" t="s">
        <v>29</v>
      </c>
      <c r="K9" s="24" t="s">
        <v>30</v>
      </c>
      <c r="L9" s="22" t="s">
        <v>31</v>
      </c>
      <c r="M9" s="24" t="s">
        <v>32</v>
      </c>
      <c r="N9" s="25" t="s">
        <v>33</v>
      </c>
      <c r="O9" s="25" t="s">
        <v>34</v>
      </c>
      <c r="P9" s="25" t="s">
        <v>35</v>
      </c>
      <c r="Q9" s="25" t="s">
        <v>36</v>
      </c>
      <c r="R9" s="25" t="s">
        <v>37</v>
      </c>
      <c r="S9" s="22" t="s">
        <v>38</v>
      </c>
      <c r="T9" s="26" t="s">
        <v>39</v>
      </c>
      <c r="U9" s="26" t="s">
        <v>40</v>
      </c>
      <c r="V9" s="26"/>
      <c r="W9" s="26"/>
    </row>
    <row r="10">
      <c r="A10" s="27">
        <f t="shared" ref="A10:A142" si="1">ROW()-9</f>
        <v>1</v>
      </c>
      <c r="B10" s="2" t="str">
        <f t="array" ref="B10">XLOOKUP(E10,'GSM T4.2026'!D:D,'GSM T4.2026'!F:F)</f>
        <v>#N/A</v>
      </c>
      <c r="C10" s="28" t="str">
        <f t="array" ref="C10">XLOOKUP(E10,Sheet6!H:H,Sheet6!G:G)</f>
        <v>CTH</v>
      </c>
      <c r="D10" s="29" t="str">
        <f t="array" ref="D10">XLOOKUP(E10,'GSM T4.2026'!D:D,#REF!)</f>
        <v>#N/A</v>
      </c>
      <c r="E10" s="30" t="s">
        <v>41</v>
      </c>
      <c r="F10" s="31" t="s">
        <v>42</v>
      </c>
      <c r="G10" s="32">
        <f>F10-3</f>
        <v>-319334</v>
      </c>
      <c r="H10" s="33">
        <f t="shared" ref="H10:H45" si="2">F10-5</f>
        <v>-319336</v>
      </c>
      <c r="I10" s="34" t="s">
        <v>43</v>
      </c>
      <c r="J10" s="35" t="s">
        <v>44</v>
      </c>
      <c r="K10" s="14" t="s">
        <v>7</v>
      </c>
      <c r="T10" s="36"/>
      <c r="U10" s="36"/>
      <c r="V10" s="36"/>
      <c r="W10" s="36"/>
    </row>
    <row r="11">
      <c r="A11" s="27">
        <f t="shared" si="1"/>
        <v>2</v>
      </c>
      <c r="B11" s="2" t="str">
        <f t="array" ref="B11">XLOOKUP(E11,'GSM T4.2026'!D:D,'GSM T4.2026'!F:F)</f>
        <v>#N/A</v>
      </c>
      <c r="C11" s="28" t="str">
        <f t="array" ref="C11">XLOOKUP(E11,Sheet6!H:H,Sheet6!G:G)</f>
        <v>LVL</v>
      </c>
      <c r="D11" s="29" t="str">
        <f t="array" ref="D11">XLOOKUP(E11,'GSM T4.2026'!D:D,#REF!)</f>
        <v>#N/A</v>
      </c>
      <c r="E11" s="2" t="s">
        <v>45</v>
      </c>
      <c r="F11" s="37">
        <v>45906.0</v>
      </c>
      <c r="G11" s="38">
        <v>45904.0</v>
      </c>
      <c r="H11" s="39">
        <f t="shared" si="2"/>
        <v>45901</v>
      </c>
      <c r="I11" s="40" t="s">
        <v>46</v>
      </c>
      <c r="J11" s="35" t="s">
        <v>44</v>
      </c>
      <c r="K11" s="14" t="s">
        <v>7</v>
      </c>
      <c r="T11" s="41">
        <v>45905.0</v>
      </c>
      <c r="U11" s="36" t="s">
        <v>47</v>
      </c>
    </row>
    <row r="12">
      <c r="A12" s="27">
        <f t="shared" si="1"/>
        <v>3</v>
      </c>
      <c r="B12" s="2" t="str">
        <f t="array" ref="B12">XLOOKUP(E12,'GSM T4.2026'!D:D,'GSM T4.2026'!F:F)</f>
        <v>#N/A</v>
      </c>
      <c r="C12" s="28" t="str">
        <f t="array" ref="C12">XLOOKUP(E12,Sheet6!H:H,Sheet6!G:G)</f>
        <v>PTN</v>
      </c>
      <c r="D12" s="29" t="str">
        <f t="array" ref="D12">XLOOKUP(E12,'GSM T4.2026'!D:D,#REF!)</f>
        <v>#N/A</v>
      </c>
      <c r="E12" s="30" t="s">
        <v>48</v>
      </c>
      <c r="F12" s="31">
        <v>45908.0</v>
      </c>
      <c r="G12" s="32">
        <f t="shared" ref="G12:G43" si="3">F12-3</f>
        <v>45905</v>
      </c>
      <c r="H12" s="33">
        <f t="shared" si="2"/>
        <v>45903</v>
      </c>
      <c r="I12" s="34" t="s">
        <v>49</v>
      </c>
      <c r="J12" s="35" t="s">
        <v>44</v>
      </c>
      <c r="K12" s="14" t="s">
        <v>7</v>
      </c>
      <c r="T12" s="41">
        <v>45906.0</v>
      </c>
      <c r="U12" s="36" t="s">
        <v>50</v>
      </c>
    </row>
    <row r="13">
      <c r="A13" s="27">
        <f t="shared" si="1"/>
        <v>4</v>
      </c>
      <c r="B13" s="2" t="str">
        <f t="array" ref="B13">XLOOKUP(E13,'GSM T4.2026'!D:D,'GSM T4.2026'!F:F)</f>
        <v>#N/A</v>
      </c>
      <c r="C13" s="28" t="str">
        <f t="array" ref="C13">XLOOKUP(E13,Sheet6!H:H,Sheet6!G:G)</f>
        <v>JKD</v>
      </c>
      <c r="D13" s="29" t="str">
        <f t="array" ref="D13">XLOOKUP(E13,'GSM T4.2026'!D:D,#REF!)</f>
        <v>#N/A</v>
      </c>
      <c r="E13" s="30" t="s">
        <v>51</v>
      </c>
      <c r="F13" s="31">
        <v>45914.0</v>
      </c>
      <c r="G13" s="32">
        <f t="shared" si="3"/>
        <v>45911</v>
      </c>
      <c r="H13" s="33">
        <f t="shared" si="2"/>
        <v>45909</v>
      </c>
      <c r="I13" s="34" t="s">
        <v>52</v>
      </c>
      <c r="J13" s="35" t="s">
        <v>44</v>
      </c>
      <c r="K13" s="14" t="s">
        <v>7</v>
      </c>
      <c r="T13" s="41">
        <v>45906.0</v>
      </c>
      <c r="U13" s="36" t="s">
        <v>50</v>
      </c>
    </row>
    <row r="14">
      <c r="A14" s="27">
        <f t="shared" si="1"/>
        <v>5</v>
      </c>
      <c r="B14" s="2" t="str">
        <f t="array" ref="B14">XLOOKUP(E14,'GSM T4.2026'!D:D,'GSM T4.2026'!F:F)</f>
        <v>#N/A</v>
      </c>
      <c r="C14" s="28" t="str">
        <f t="array" ref="C14">XLOOKUP(E14,Sheet6!H:H,Sheet6!G:G)</f>
        <v>HPD</v>
      </c>
      <c r="D14" s="29" t="str">
        <f t="array" ref="D14">XLOOKUP(E14,'GSM T4.2026'!D:D,#REF!)</f>
        <v>#N/A</v>
      </c>
      <c r="E14" s="2" t="s">
        <v>53</v>
      </c>
      <c r="F14" s="37">
        <v>45918.0</v>
      </c>
      <c r="G14" s="38">
        <f t="shared" si="3"/>
        <v>45915</v>
      </c>
      <c r="H14" s="39">
        <f t="shared" si="2"/>
        <v>45913</v>
      </c>
      <c r="I14" s="40" t="s">
        <v>54</v>
      </c>
      <c r="J14" s="35" t="s">
        <v>44</v>
      </c>
      <c r="K14" s="14" t="s">
        <v>7</v>
      </c>
      <c r="T14" s="41">
        <v>45905.0</v>
      </c>
      <c r="U14" s="36" t="s">
        <v>55</v>
      </c>
    </row>
    <row r="15">
      <c r="A15" s="27">
        <f t="shared" si="1"/>
        <v>6</v>
      </c>
      <c r="B15" s="2" t="str">
        <f t="array" ref="B15">XLOOKUP(E15,'GSM T4.2026'!D:D,'GSM T4.2026'!F:F)</f>
        <v>#N/A</v>
      </c>
      <c r="C15" s="28" t="str">
        <f t="array" ref="C15">XLOOKUP(E15,Sheet6!H:H,Sheet6!G:G)</f>
        <v>CLN</v>
      </c>
      <c r="D15" s="29" t="str">
        <f t="array" ref="D15">XLOOKUP(E15,'GSM T4.2026'!D:D,#REF!)</f>
        <v>#N/A</v>
      </c>
      <c r="E15" s="30" t="s">
        <v>56</v>
      </c>
      <c r="F15" s="31">
        <v>45929.0</v>
      </c>
      <c r="G15" s="32">
        <f t="shared" si="3"/>
        <v>45926</v>
      </c>
      <c r="H15" s="33">
        <f t="shared" si="2"/>
        <v>45924</v>
      </c>
      <c r="I15" s="34" t="s">
        <v>57</v>
      </c>
      <c r="J15" s="35" t="s">
        <v>44</v>
      </c>
      <c r="K15" s="14" t="s">
        <v>7</v>
      </c>
      <c r="T15" s="41">
        <v>45935.0</v>
      </c>
      <c r="U15" s="36" t="s">
        <v>58</v>
      </c>
    </row>
    <row r="16">
      <c r="A16" s="27">
        <f t="shared" si="1"/>
        <v>7</v>
      </c>
      <c r="B16" s="2" t="str">
        <f t="array" ref="B16">XLOOKUP(E16,'GSM T4.2026'!D:D,'GSM T4.2026'!F:F)</f>
        <v>#N/A</v>
      </c>
      <c r="C16" s="28" t="str">
        <f t="array" ref="C16">XLOOKUP(E16,Sheet6!H:H,Sheet6!G:G)</f>
        <v>PHI</v>
      </c>
      <c r="D16" s="29" t="str">
        <f t="array" ref="D16">XLOOKUP(E16,'GSM T4.2026'!D:D,#REF!)</f>
        <v>#N/A</v>
      </c>
      <c r="E16" s="2" t="s">
        <v>59</v>
      </c>
      <c r="F16" s="42">
        <v>45994.0</v>
      </c>
      <c r="G16" s="43">
        <f t="shared" si="3"/>
        <v>45991</v>
      </c>
      <c r="H16" s="44">
        <f t="shared" si="2"/>
        <v>45989</v>
      </c>
      <c r="I16" s="45" t="s">
        <v>60</v>
      </c>
      <c r="J16" s="35" t="s">
        <v>44</v>
      </c>
      <c r="K16" s="14" t="s">
        <v>7</v>
      </c>
      <c r="L16" s="46"/>
      <c r="M16" s="47" t="s">
        <v>61</v>
      </c>
      <c r="T16" s="40" t="s">
        <v>62</v>
      </c>
      <c r="U16" s="36" t="s">
        <v>63</v>
      </c>
    </row>
    <row r="17">
      <c r="A17" s="27">
        <f t="shared" si="1"/>
        <v>8</v>
      </c>
      <c r="B17" s="2" t="str">
        <f t="array" ref="B17">XLOOKUP(E17,'GSM T4.2026'!D:D,'GSM T4.2026'!F:F)</f>
        <v>#N/A</v>
      </c>
      <c r="C17" s="28" t="str">
        <f t="array" ref="C17">XLOOKUP(E17,Sheet6!H:H,Sheet6!G:G)</f>
        <v>NVQ</v>
      </c>
      <c r="D17" s="29" t="str">
        <f t="array" ref="D17">XLOOKUP(E17,'GSM T4.2026'!D:D,#REF!)</f>
        <v>#N/A</v>
      </c>
      <c r="E17" s="30" t="s">
        <v>64</v>
      </c>
      <c r="F17" s="42">
        <v>45995.0</v>
      </c>
      <c r="G17" s="43">
        <f t="shared" si="3"/>
        <v>45992</v>
      </c>
      <c r="H17" s="44">
        <f t="shared" si="2"/>
        <v>45990</v>
      </c>
      <c r="I17" s="45" t="s">
        <v>65</v>
      </c>
      <c r="J17" s="35" t="s">
        <v>44</v>
      </c>
      <c r="K17" s="14" t="s">
        <v>7</v>
      </c>
      <c r="M17" s="35" t="s">
        <v>66</v>
      </c>
      <c r="T17" s="48">
        <v>45937.0</v>
      </c>
      <c r="U17" s="36" t="s">
        <v>67</v>
      </c>
    </row>
    <row r="18">
      <c r="A18" s="27">
        <f t="shared" si="1"/>
        <v>9</v>
      </c>
      <c r="B18" s="2" t="str">
        <f t="array" ref="B18">XLOOKUP(E18,'GSM T4.2026'!D:D,'GSM T4.2026'!F:F)</f>
        <v>#N/A</v>
      </c>
      <c r="C18" s="49" t="s">
        <v>68</v>
      </c>
      <c r="D18" s="29" t="str">
        <f t="array" ref="D18">XLOOKUP(E18,'GSM T4.2026'!D:D,#REF!)</f>
        <v>#N/A</v>
      </c>
      <c r="E18" s="50" t="s">
        <v>69</v>
      </c>
      <c r="F18" s="42">
        <v>45995.0</v>
      </c>
      <c r="G18" s="43">
        <f t="shared" si="3"/>
        <v>45992</v>
      </c>
      <c r="H18" s="44">
        <f t="shared" si="2"/>
        <v>45990</v>
      </c>
      <c r="I18" s="45" t="s">
        <v>70</v>
      </c>
      <c r="J18" s="35" t="s">
        <v>44</v>
      </c>
      <c r="K18" s="14" t="s">
        <v>7</v>
      </c>
      <c r="M18" s="51" t="s">
        <v>71</v>
      </c>
      <c r="T18" s="40" t="s">
        <v>72</v>
      </c>
      <c r="U18" s="36" t="s">
        <v>73</v>
      </c>
    </row>
    <row r="19">
      <c r="A19" s="27">
        <f t="shared" si="1"/>
        <v>10</v>
      </c>
      <c r="B19" s="2" t="str">
        <f t="array" ref="B19">XLOOKUP(E19,'GSM T4.2026'!D:D,'GSM T4.2026'!F:F)</f>
        <v>#N/A</v>
      </c>
      <c r="C19" s="49" t="s">
        <v>74</v>
      </c>
      <c r="D19" s="29" t="str">
        <f t="array" ref="D19">XLOOKUP(E19,'GSM T4.2026'!D:D,#REF!)</f>
        <v>#N/A</v>
      </c>
      <c r="E19" s="52" t="s">
        <v>75</v>
      </c>
      <c r="F19" s="42">
        <v>45995.0</v>
      </c>
      <c r="G19" s="43">
        <f t="shared" si="3"/>
        <v>45992</v>
      </c>
      <c r="H19" s="44">
        <f t="shared" si="2"/>
        <v>45990</v>
      </c>
      <c r="I19" s="45" t="s">
        <v>76</v>
      </c>
      <c r="J19" s="35" t="s">
        <v>44</v>
      </c>
      <c r="K19" s="14" t="s">
        <v>7</v>
      </c>
      <c r="M19" s="51" t="s">
        <v>71</v>
      </c>
      <c r="T19" s="53">
        <v>46002.0</v>
      </c>
      <c r="U19" s="36" t="s">
        <v>77</v>
      </c>
    </row>
    <row r="20">
      <c r="A20" s="27">
        <f t="shared" si="1"/>
        <v>11</v>
      </c>
      <c r="B20" s="2" t="str">
        <f t="array" ref="B20">XLOOKUP(E20,'GSM T4.2026'!D:D,'GSM T4.2026'!F:F)</f>
        <v>#N/A</v>
      </c>
      <c r="C20" s="28" t="str">
        <f t="array" ref="C20">XLOOKUP(E20,Sheet6!H:H,Sheet6!G:G)</f>
        <v>ECG</v>
      </c>
      <c r="D20" s="29" t="str">
        <f t="array" ref="D20">XLOOKUP(E20,'GSM T4.2026'!D:D,#REF!)</f>
        <v>#N/A</v>
      </c>
      <c r="E20" s="54" t="s">
        <v>78</v>
      </c>
      <c r="F20" s="42">
        <v>45996.0</v>
      </c>
      <c r="G20" s="43">
        <f t="shared" si="3"/>
        <v>45993</v>
      </c>
      <c r="H20" s="44">
        <f t="shared" si="2"/>
        <v>45991</v>
      </c>
      <c r="I20" s="45" t="s">
        <v>79</v>
      </c>
      <c r="J20" s="55" t="s">
        <v>44</v>
      </c>
      <c r="K20" s="14" t="s">
        <v>7</v>
      </c>
      <c r="L20" s="46">
        <v>45700.0</v>
      </c>
      <c r="M20" s="35" t="s">
        <v>66</v>
      </c>
      <c r="N20" s="56">
        <v>45996.0</v>
      </c>
      <c r="O20" s="56">
        <v>45996.0</v>
      </c>
      <c r="P20" s="56">
        <v>45996.0</v>
      </c>
      <c r="Q20" s="56">
        <v>45996.0</v>
      </c>
      <c r="R20" s="56">
        <v>45905.0</v>
      </c>
      <c r="S20" s="57">
        <v>45935.0</v>
      </c>
      <c r="T20" s="40" t="s">
        <v>80</v>
      </c>
      <c r="U20" s="36" t="s">
        <v>81</v>
      </c>
    </row>
    <row r="21">
      <c r="A21" s="27">
        <f t="shared" si="1"/>
        <v>12</v>
      </c>
      <c r="B21" s="2" t="str">
        <f t="array" ref="B21">XLOOKUP(E21,'GSM T4.2026'!D:D,'GSM T4.2026'!F:F)</f>
        <v>#N/A</v>
      </c>
      <c r="C21" s="49" t="s">
        <v>82</v>
      </c>
      <c r="D21" s="29" t="str">
        <f t="array" ref="D21">XLOOKUP(E21,'GSM T4.2026'!D:D,#REF!)</f>
        <v>#N/A</v>
      </c>
      <c r="E21" s="50" t="s">
        <v>83</v>
      </c>
      <c r="F21" s="42">
        <v>45996.0</v>
      </c>
      <c r="G21" s="43">
        <f t="shared" si="3"/>
        <v>45993</v>
      </c>
      <c r="H21" s="44">
        <f t="shared" si="2"/>
        <v>45991</v>
      </c>
      <c r="I21" s="45" t="s">
        <v>84</v>
      </c>
      <c r="J21" s="35" t="s">
        <v>44</v>
      </c>
      <c r="K21" s="14" t="s">
        <v>7</v>
      </c>
      <c r="M21" s="51" t="s">
        <v>71</v>
      </c>
      <c r="T21" s="40"/>
    </row>
    <row r="22">
      <c r="A22" s="27">
        <f t="shared" si="1"/>
        <v>13</v>
      </c>
      <c r="B22" s="2" t="str">
        <f t="array" ref="B22">XLOOKUP(E22,'GSM T4.2026'!D:D,'GSM T4.2026'!F:F)</f>
        <v>#N/A</v>
      </c>
      <c r="C22" s="28" t="str">
        <f t="array" ref="C22">XLOOKUP(E22,Sheet6!H:H,Sheet6!G:G)</f>
        <v>SCV</v>
      </c>
      <c r="D22" s="29" t="str">
        <f t="array" ref="D22">XLOOKUP(E22,'GSM T4.2026'!D:D,#REF!)</f>
        <v>#N/A</v>
      </c>
      <c r="E22" s="58" t="s">
        <v>85</v>
      </c>
      <c r="F22" s="42">
        <v>46002.0</v>
      </c>
      <c r="G22" s="43">
        <f t="shared" si="3"/>
        <v>45999</v>
      </c>
      <c r="H22" s="44">
        <f t="shared" si="2"/>
        <v>45997</v>
      </c>
      <c r="I22" s="45" t="s">
        <v>86</v>
      </c>
      <c r="J22" s="55" t="s">
        <v>44</v>
      </c>
      <c r="K22" s="14" t="s">
        <v>7</v>
      </c>
      <c r="M22" s="35" t="s">
        <v>66</v>
      </c>
      <c r="N22" s="35"/>
      <c r="O22" s="35"/>
      <c r="P22" s="35"/>
      <c r="Q22" s="35"/>
      <c r="R22" s="35"/>
      <c r="S22" s="35"/>
      <c r="T22" s="40"/>
    </row>
    <row r="23">
      <c r="A23" s="27">
        <f t="shared" si="1"/>
        <v>14</v>
      </c>
      <c r="B23" s="2" t="str">
        <f t="array" ref="B23">XLOOKUP(E23,'GSM T4.2026'!D:D,'GSM T4.2026'!F:F)</f>
        <v>#N/A</v>
      </c>
      <c r="C23" s="28" t="str">
        <f t="array" ref="C23">XLOOKUP(E23,Sheet6!H:H,Sheet6!G:G)</f>
        <v>NKM</v>
      </c>
      <c r="D23" s="29" t="str">
        <f t="array" ref="D23">XLOOKUP(E23,'GSM T4.2026'!D:D,#REF!)</f>
        <v>#N/A</v>
      </c>
      <c r="E23" s="30" t="s">
        <v>87</v>
      </c>
      <c r="F23" s="42">
        <v>46006.0</v>
      </c>
      <c r="G23" s="43">
        <f t="shared" si="3"/>
        <v>46003</v>
      </c>
      <c r="H23" s="44">
        <f t="shared" si="2"/>
        <v>46001</v>
      </c>
      <c r="I23" s="45" t="s">
        <v>88</v>
      </c>
      <c r="J23" s="35" t="s">
        <v>44</v>
      </c>
      <c r="K23" s="14" t="s">
        <v>7</v>
      </c>
      <c r="M23" s="35" t="s">
        <v>66</v>
      </c>
      <c r="T23" s="48">
        <v>45819.0</v>
      </c>
      <c r="U23" s="36" t="s">
        <v>89</v>
      </c>
    </row>
    <row r="24">
      <c r="A24" s="27">
        <f t="shared" si="1"/>
        <v>15</v>
      </c>
      <c r="B24" s="2" t="str">
        <f t="array" ref="B24">XLOOKUP(E24,'GSM T4.2026'!D:D,'GSM T4.2026'!F:F)</f>
        <v>#N/A</v>
      </c>
      <c r="C24" s="59" t="s">
        <v>90</v>
      </c>
      <c r="D24" s="29" t="str">
        <f t="array" ref="D24">XLOOKUP(E24,'GSM T4.2026'!D:D,#REF!)</f>
        <v>#N/A</v>
      </c>
      <c r="E24" s="52" t="s">
        <v>91</v>
      </c>
      <c r="F24" s="60">
        <v>46006.0</v>
      </c>
      <c r="G24" s="61">
        <f t="shared" si="3"/>
        <v>46003</v>
      </c>
      <c r="H24" s="62">
        <f t="shared" si="2"/>
        <v>46001</v>
      </c>
      <c r="I24" s="40" t="s">
        <v>92</v>
      </c>
      <c r="J24" s="35" t="s">
        <v>44</v>
      </c>
      <c r="K24" s="14" t="s">
        <v>7</v>
      </c>
      <c r="M24" s="51" t="s">
        <v>71</v>
      </c>
    </row>
    <row r="25">
      <c r="A25" s="27">
        <f t="shared" si="1"/>
        <v>16</v>
      </c>
      <c r="B25" s="2" t="str">
        <f t="array" ref="B25">XLOOKUP(E25,'GSM T4.2026'!D:D,'GSM T4.2026'!F:F)</f>
        <v>#N/A</v>
      </c>
      <c r="C25" s="49" t="s">
        <v>93</v>
      </c>
      <c r="D25" s="29" t="str">
        <f t="array" ref="D25">XLOOKUP(E25,'GSM T4.2026'!D:D,#REF!)</f>
        <v>#N/A</v>
      </c>
      <c r="E25" s="10" t="s">
        <v>94</v>
      </c>
      <c r="F25" s="60">
        <v>46006.0</v>
      </c>
      <c r="G25" s="61">
        <f t="shared" si="3"/>
        <v>46003</v>
      </c>
      <c r="H25" s="62">
        <f t="shared" si="2"/>
        <v>46001</v>
      </c>
      <c r="I25" s="40" t="s">
        <v>95</v>
      </c>
      <c r="J25" s="35" t="s">
        <v>44</v>
      </c>
      <c r="K25" s="14" t="s">
        <v>7</v>
      </c>
      <c r="M25" s="51" t="s">
        <v>71</v>
      </c>
    </row>
    <row r="26">
      <c r="A26" s="27">
        <f t="shared" si="1"/>
        <v>17</v>
      </c>
      <c r="B26" s="2" t="str">
        <f t="array" ref="B26">XLOOKUP(E26,'GSM T4.2026'!D:D,'GSM T4.2026'!F:F)</f>
        <v>#N/A</v>
      </c>
      <c r="C26" s="49" t="s">
        <v>96</v>
      </c>
      <c r="D26" s="29" t="str">
        <f t="array" ref="D26">XLOOKUP(E26,'GSM T4.2026'!D:D,#REF!)</f>
        <v>#N/A</v>
      </c>
      <c r="E26" s="10" t="s">
        <v>97</v>
      </c>
      <c r="F26" s="60">
        <v>46007.0</v>
      </c>
      <c r="G26" s="61">
        <f t="shared" si="3"/>
        <v>46004</v>
      </c>
      <c r="H26" s="62">
        <f t="shared" si="2"/>
        <v>46002</v>
      </c>
      <c r="I26" s="40" t="s">
        <v>98</v>
      </c>
      <c r="J26" s="35" t="s">
        <v>44</v>
      </c>
      <c r="K26" s="14" t="s">
        <v>7</v>
      </c>
      <c r="M26" s="51" t="s">
        <v>71</v>
      </c>
    </row>
    <row r="27">
      <c r="A27" s="27">
        <f t="shared" si="1"/>
        <v>18</v>
      </c>
      <c r="B27" s="2" t="str">
        <f t="array" ref="B27">XLOOKUP(E27,'GSM T4.2026'!D:D,'GSM T4.2026'!F:F)</f>
        <v>#N/A</v>
      </c>
      <c r="C27" s="49" t="s">
        <v>99</v>
      </c>
      <c r="D27" s="29" t="str">
        <f t="array" ref="D27">XLOOKUP(E27,'GSM T4.2026'!D:D,#REF!)</f>
        <v>#N/A</v>
      </c>
      <c r="E27" s="10" t="s">
        <v>100</v>
      </c>
      <c r="F27" s="60">
        <v>46008.0</v>
      </c>
      <c r="G27" s="61">
        <f t="shared" si="3"/>
        <v>46005</v>
      </c>
      <c r="H27" s="62">
        <f t="shared" si="2"/>
        <v>46003</v>
      </c>
      <c r="I27" s="40" t="s">
        <v>101</v>
      </c>
      <c r="J27" s="35" t="s">
        <v>44</v>
      </c>
      <c r="K27" s="14" t="s">
        <v>7</v>
      </c>
      <c r="M27" s="51" t="s">
        <v>71</v>
      </c>
    </row>
    <row r="28">
      <c r="A28" s="27">
        <f t="shared" si="1"/>
        <v>19</v>
      </c>
      <c r="B28" s="2" t="str">
        <f t="array" ref="B28">XLOOKUP(E28,'GSM T4.2026'!D:D,'GSM T4.2026'!F:F)</f>
        <v>#N/A</v>
      </c>
      <c r="C28" s="49" t="s">
        <v>102</v>
      </c>
      <c r="D28" s="29" t="str">
        <f t="array" ref="D28">XLOOKUP(E28,'GSM T4.2026'!D:D,#REF!)</f>
        <v>#N/A</v>
      </c>
      <c r="E28" s="52" t="s">
        <v>103</v>
      </c>
      <c r="F28" s="60">
        <v>46009.0</v>
      </c>
      <c r="G28" s="61">
        <f t="shared" si="3"/>
        <v>46006</v>
      </c>
      <c r="H28" s="62">
        <f t="shared" si="2"/>
        <v>46004</v>
      </c>
      <c r="I28" s="40" t="s">
        <v>104</v>
      </c>
      <c r="J28" s="35" t="s">
        <v>44</v>
      </c>
      <c r="K28" s="14" t="s">
        <v>7</v>
      </c>
      <c r="M28" s="51" t="s">
        <v>71</v>
      </c>
    </row>
    <row r="29">
      <c r="A29" s="27">
        <f t="shared" si="1"/>
        <v>20</v>
      </c>
      <c r="B29" s="2" t="str">
        <f t="array" ref="B29">XLOOKUP(E29,'GSM T4.2026'!D:D,'GSM T4.2026'!F:F)</f>
        <v>#N/A</v>
      </c>
      <c r="C29" s="49" t="s">
        <v>105</v>
      </c>
      <c r="D29" s="29" t="str">
        <f t="array" ref="D29">XLOOKUP(E29,'GSM T4.2026'!D:D,#REF!)</f>
        <v>#N/A</v>
      </c>
      <c r="E29" s="10" t="s">
        <v>106</v>
      </c>
      <c r="F29" s="60">
        <v>46009.0</v>
      </c>
      <c r="G29" s="61">
        <f t="shared" si="3"/>
        <v>46006</v>
      </c>
      <c r="H29" s="62">
        <f t="shared" si="2"/>
        <v>46004</v>
      </c>
      <c r="I29" s="40" t="s">
        <v>104</v>
      </c>
      <c r="J29" s="35" t="s">
        <v>44</v>
      </c>
      <c r="K29" s="14" t="s">
        <v>7</v>
      </c>
      <c r="M29" s="51" t="s">
        <v>71</v>
      </c>
    </row>
    <row r="30">
      <c r="A30" s="27">
        <f t="shared" si="1"/>
        <v>21</v>
      </c>
      <c r="B30" s="2" t="str">
        <f t="array" ref="B30">XLOOKUP(E30,'GSM T4.2026'!D:D,'GSM T4.2026'!F:F)</f>
        <v>#N/A</v>
      </c>
      <c r="C30" s="28" t="str">
        <f t="array" ref="C30">XLOOKUP(E30,Sheet6!H:H,Sheet6!G:G)</f>
        <v>A103</v>
      </c>
      <c r="D30" s="29" t="str">
        <f t="array" ref="D30">XLOOKUP(E30,'GSM T4.2026'!D:D,#REF!)</f>
        <v>#N/A</v>
      </c>
      <c r="E30" s="52" t="s">
        <v>107</v>
      </c>
      <c r="F30" s="42">
        <v>46014.0</v>
      </c>
      <c r="G30" s="43">
        <f t="shared" si="3"/>
        <v>46011</v>
      </c>
      <c r="H30" s="44">
        <f t="shared" si="2"/>
        <v>46009</v>
      </c>
      <c r="I30" s="45" t="s">
        <v>108</v>
      </c>
      <c r="J30" s="35" t="s">
        <v>44</v>
      </c>
      <c r="K30" s="14" t="s">
        <v>7</v>
      </c>
      <c r="M30" s="51" t="s">
        <v>71</v>
      </c>
    </row>
    <row r="31">
      <c r="A31" s="27">
        <f t="shared" si="1"/>
        <v>22</v>
      </c>
      <c r="B31" s="2" t="str">
        <f t="array" ref="B31">XLOOKUP(E31,'GSM T4.2026'!D:D,'GSM T4.2026'!F:F)</f>
        <v>#N/A</v>
      </c>
      <c r="C31" s="49" t="s">
        <v>109</v>
      </c>
      <c r="D31" s="29" t="str">
        <f t="array" ref="D31">XLOOKUP(E31,'GSM T4.2026'!D:D,#REF!)</f>
        <v>#N/A</v>
      </c>
      <c r="E31" s="52" t="s">
        <v>110</v>
      </c>
      <c r="F31" s="60">
        <v>46019.0</v>
      </c>
      <c r="G31" s="61">
        <f t="shared" si="3"/>
        <v>46016</v>
      </c>
      <c r="H31" s="62">
        <f t="shared" si="2"/>
        <v>46014</v>
      </c>
      <c r="I31" s="40" t="s">
        <v>111</v>
      </c>
      <c r="J31" s="35" t="s">
        <v>44</v>
      </c>
      <c r="K31" s="14" t="s">
        <v>7</v>
      </c>
      <c r="M31" s="51" t="s">
        <v>71</v>
      </c>
    </row>
    <row r="32">
      <c r="A32" s="27">
        <f t="shared" si="1"/>
        <v>23</v>
      </c>
      <c r="B32" s="2" t="str">
        <f t="array" ref="B32">XLOOKUP(E32,'GSM T4.2026'!D:D,'GSM T4.2026'!F:F)</f>
        <v>#N/A</v>
      </c>
      <c r="C32" s="49" t="s">
        <v>112</v>
      </c>
      <c r="D32" s="29" t="str">
        <f t="array" ref="D32">XLOOKUP(E32,'GSM T4.2026'!D:D,#REF!)</f>
        <v>#N/A</v>
      </c>
      <c r="E32" s="10" t="s">
        <v>113</v>
      </c>
      <c r="F32" s="60">
        <v>46019.0</v>
      </c>
      <c r="G32" s="61">
        <f t="shared" si="3"/>
        <v>46016</v>
      </c>
      <c r="H32" s="62">
        <f t="shared" si="2"/>
        <v>46014</v>
      </c>
      <c r="I32" s="40" t="s">
        <v>111</v>
      </c>
      <c r="J32" s="35" t="s">
        <v>44</v>
      </c>
      <c r="K32" s="14" t="s">
        <v>7</v>
      </c>
      <c r="M32" s="51" t="s">
        <v>71</v>
      </c>
    </row>
    <row r="33">
      <c r="A33" s="27">
        <f t="shared" si="1"/>
        <v>24</v>
      </c>
      <c r="B33" s="2" t="str">
        <f t="array" ref="B33">XLOOKUP(E33,'GSM T4.2026'!D:D,'GSM T4.2026'!F:F)</f>
        <v>#N/A</v>
      </c>
      <c r="C33" s="49" t="s">
        <v>114</v>
      </c>
      <c r="D33" s="29" t="str">
        <f t="array" ref="D33">XLOOKUP(E33,'GSM T4.2026'!D:D,#REF!)</f>
        <v>#N/A</v>
      </c>
      <c r="E33" s="63" t="s">
        <v>115</v>
      </c>
      <c r="F33" s="42">
        <v>46020.0</v>
      </c>
      <c r="G33" s="43">
        <f t="shared" si="3"/>
        <v>46017</v>
      </c>
      <c r="H33" s="44">
        <f t="shared" si="2"/>
        <v>46015</v>
      </c>
      <c r="I33" s="64" t="s">
        <v>116</v>
      </c>
      <c r="J33" s="35" t="s">
        <v>44</v>
      </c>
      <c r="K33" s="14" t="s">
        <v>7</v>
      </c>
      <c r="M33" s="51" t="s">
        <v>71</v>
      </c>
    </row>
    <row r="34">
      <c r="A34" s="27">
        <f t="shared" si="1"/>
        <v>25</v>
      </c>
      <c r="B34" s="2" t="str">
        <f t="array" ref="B34">XLOOKUP(E34,'GSM T4.2026'!D:D,'GSM T4.2026'!F:F)</f>
        <v>#N/A</v>
      </c>
      <c r="C34" s="65" t="s">
        <v>117</v>
      </c>
      <c r="D34" s="29" t="str">
        <f t="array" ref="D34">XLOOKUP(E34,'GSM T4.2026'!D:D,#REF!)</f>
        <v>#N/A</v>
      </c>
      <c r="E34" s="63" t="s">
        <v>118</v>
      </c>
      <c r="F34" s="42">
        <v>46018.0</v>
      </c>
      <c r="G34" s="43">
        <f t="shared" si="3"/>
        <v>46015</v>
      </c>
      <c r="H34" s="66">
        <f t="shared" si="2"/>
        <v>46013</v>
      </c>
      <c r="I34" s="67" t="s">
        <v>119</v>
      </c>
      <c r="J34" s="35" t="s">
        <v>44</v>
      </c>
      <c r="K34" s="14" t="s">
        <v>7</v>
      </c>
      <c r="L34" s="68" t="s">
        <v>120</v>
      </c>
      <c r="M34" s="51" t="s">
        <v>71</v>
      </c>
    </row>
    <row r="35">
      <c r="A35" s="27">
        <f t="shared" si="1"/>
        <v>26</v>
      </c>
      <c r="B35" s="2" t="str">
        <f t="array" ref="B35">XLOOKUP(E35,'GSM T4.2026'!D:D,'GSM T4.2026'!F:F)</f>
        <v>#N/A</v>
      </c>
      <c r="C35" s="65" t="s">
        <v>121</v>
      </c>
      <c r="D35" s="29" t="str">
        <f t="array" ref="D35">XLOOKUP(E35,'GSM T4.2026'!D:D,#REF!)</f>
        <v>#N/A</v>
      </c>
      <c r="E35" s="63" t="s">
        <v>122</v>
      </c>
      <c r="F35" s="42">
        <v>46020.0</v>
      </c>
      <c r="G35" s="43">
        <f t="shared" si="3"/>
        <v>46017</v>
      </c>
      <c r="H35" s="44">
        <f t="shared" si="2"/>
        <v>46015</v>
      </c>
      <c r="I35" s="67" t="s">
        <v>119</v>
      </c>
      <c r="J35" s="35" t="s">
        <v>44</v>
      </c>
      <c r="K35" s="14" t="s">
        <v>7</v>
      </c>
      <c r="L35" s="68"/>
      <c r="M35" s="51" t="s">
        <v>71</v>
      </c>
    </row>
    <row r="36">
      <c r="A36" s="27">
        <f t="shared" si="1"/>
        <v>27</v>
      </c>
      <c r="B36" s="2" t="str">
        <f t="array" ref="B36">XLOOKUP(E36,'GSM T4.2026'!D:D,'GSM T4.2026'!F:F)</f>
        <v>#N/A</v>
      </c>
      <c r="C36" s="65" t="s">
        <v>123</v>
      </c>
      <c r="D36" s="29" t="str">
        <f t="array" ref="D36">XLOOKUP(E36,'GSM T4.2026'!D:D,#REF!)</f>
        <v>#N/A</v>
      </c>
      <c r="E36" s="63" t="s">
        <v>124</v>
      </c>
      <c r="F36" s="42">
        <v>46019.0</v>
      </c>
      <c r="G36" s="43">
        <f t="shared" si="3"/>
        <v>46016</v>
      </c>
      <c r="H36" s="44">
        <f t="shared" si="2"/>
        <v>46014</v>
      </c>
      <c r="I36" s="67" t="s">
        <v>111</v>
      </c>
      <c r="J36" s="35" t="s">
        <v>44</v>
      </c>
      <c r="K36" s="14" t="s">
        <v>7</v>
      </c>
      <c r="L36" s="68" t="s">
        <v>120</v>
      </c>
      <c r="M36" s="51" t="s">
        <v>71</v>
      </c>
    </row>
    <row r="37">
      <c r="A37" s="27">
        <f t="shared" si="1"/>
        <v>28</v>
      </c>
      <c r="B37" s="2" t="str">
        <f t="array" ref="B37">XLOOKUP(E37,'GSM T4.2026'!D:D,'GSM T4.2026'!F:F)</f>
        <v>#N/A</v>
      </c>
      <c r="C37" s="65" t="s">
        <v>125</v>
      </c>
      <c r="D37" s="29" t="str">
        <f t="array" ref="D37">XLOOKUP(E37,'GSM T4.2026'!D:D,#REF!)</f>
        <v>#N/A</v>
      </c>
      <c r="E37" s="63" t="s">
        <v>126</v>
      </c>
      <c r="F37" s="42">
        <v>46020.0</v>
      </c>
      <c r="G37" s="43">
        <f t="shared" si="3"/>
        <v>46017</v>
      </c>
      <c r="H37" s="44">
        <f t="shared" si="2"/>
        <v>46015</v>
      </c>
      <c r="I37" s="67" t="s">
        <v>119</v>
      </c>
      <c r="J37" s="35" t="s">
        <v>44</v>
      </c>
      <c r="K37" s="14" t="s">
        <v>7</v>
      </c>
      <c r="L37" s="68" t="s">
        <v>120</v>
      </c>
      <c r="M37" s="51" t="s">
        <v>71</v>
      </c>
    </row>
    <row r="38">
      <c r="A38" s="27">
        <f t="shared" si="1"/>
        <v>29</v>
      </c>
      <c r="B38" s="2" t="str">
        <f t="array" ref="B38">XLOOKUP(E38,'GSM T4.2026'!D:D,'GSM T4.2026'!F:F)</f>
        <v>#N/A</v>
      </c>
      <c r="C38" s="65" t="s">
        <v>127</v>
      </c>
      <c r="D38" s="29" t="str">
        <f t="array" ref="D38">XLOOKUP(E38,'GSM T4.2026'!D:D,#REF!)</f>
        <v>#N/A</v>
      </c>
      <c r="E38" s="63" t="s">
        <v>128</v>
      </c>
      <c r="F38" s="42">
        <v>46016.0</v>
      </c>
      <c r="G38" s="43">
        <f t="shared" si="3"/>
        <v>46013</v>
      </c>
      <c r="H38" s="66">
        <f t="shared" si="2"/>
        <v>46011</v>
      </c>
      <c r="I38" s="67" t="s">
        <v>129</v>
      </c>
      <c r="J38" s="35" t="s">
        <v>44</v>
      </c>
      <c r="K38" s="14" t="s">
        <v>7</v>
      </c>
      <c r="L38" s="68" t="s">
        <v>120</v>
      </c>
      <c r="M38" s="51" t="s">
        <v>71</v>
      </c>
    </row>
    <row r="39">
      <c r="A39" s="27">
        <f t="shared" si="1"/>
        <v>30</v>
      </c>
      <c r="B39" s="2" t="str">
        <f t="array" ref="B39">XLOOKUP(E39,'GSM T4.2026'!D:D,'GSM T4.2026'!F:F)</f>
        <v>#N/A</v>
      </c>
      <c r="C39" s="28" t="str">
        <f t="array" ref="C39">XLOOKUP(E39,Sheet6!H:H,Sheet6!G:G)</f>
        <v>ERT</v>
      </c>
      <c r="D39" s="29" t="str">
        <f t="array" ref="D39">XLOOKUP(E39,'GSM T4.2026'!D:D,#REF!)</f>
        <v>#N/A</v>
      </c>
      <c r="E39" s="2" t="s">
        <v>130</v>
      </c>
      <c r="F39" s="69"/>
      <c r="G39" s="38">
        <f t="shared" si="3"/>
        <v>-3</v>
      </c>
      <c r="H39" s="39">
        <f t="shared" si="2"/>
        <v>-5</v>
      </c>
      <c r="I39" s="70"/>
      <c r="J39" s="35"/>
      <c r="K39" s="71" t="s">
        <v>131</v>
      </c>
      <c r="L39" s="36"/>
      <c r="M39" s="47"/>
      <c r="N39" s="36" t="s">
        <v>132</v>
      </c>
      <c r="O39" s="36" t="s">
        <v>132</v>
      </c>
      <c r="P39" s="36" t="s">
        <v>133</v>
      </c>
      <c r="Q39" s="36" t="s">
        <v>134</v>
      </c>
      <c r="R39" s="36" t="s">
        <v>135</v>
      </c>
      <c r="S39" s="36"/>
      <c r="T39" s="72"/>
      <c r="U39" s="72"/>
      <c r="V39" s="72"/>
      <c r="W39" s="72"/>
    </row>
    <row r="40">
      <c r="A40" s="27">
        <f t="shared" si="1"/>
        <v>31</v>
      </c>
      <c r="B40" s="2" t="str">
        <f t="array" ref="B40">XLOOKUP(E40,'GSM T4.2026'!D:D,'GSM T4.2026'!F:F)</f>
        <v>#N/A</v>
      </c>
      <c r="C40" s="28" t="str">
        <f t="array" ref="C40">XLOOKUP(E40,Sheet6!H:H,Sheet6!G:G)</f>
        <v>HTN</v>
      </c>
      <c r="D40" s="29" t="str">
        <f t="array" ref="D40">XLOOKUP(E40,'GSM T4.2026'!D:D,#REF!)</f>
        <v>#N/A</v>
      </c>
      <c r="E40" s="58" t="s">
        <v>136</v>
      </c>
      <c r="F40" s="73">
        <v>45753.0</v>
      </c>
      <c r="G40" s="38">
        <f t="shared" si="3"/>
        <v>45750</v>
      </c>
      <c r="H40" s="39">
        <f t="shared" si="2"/>
        <v>45748</v>
      </c>
      <c r="I40" s="74" t="s">
        <v>137</v>
      </c>
      <c r="J40" s="35" t="s">
        <v>44</v>
      </c>
      <c r="K40" s="36" t="s">
        <v>7</v>
      </c>
      <c r="P40" s="2"/>
      <c r="T40" s="36"/>
      <c r="U40" s="36"/>
      <c r="V40" s="36"/>
      <c r="W40" s="36"/>
    </row>
    <row r="41">
      <c r="A41" s="27">
        <f t="shared" si="1"/>
        <v>32</v>
      </c>
      <c r="B41" s="2" t="str">
        <f t="array" ref="B41">XLOOKUP(E41,'GSM T4.2026'!D:D,'GSM T4.2026'!F:F)</f>
        <v>#N/A</v>
      </c>
      <c r="C41" s="28" t="str">
        <f t="array" ref="C41">XLOOKUP(E41,Sheet6!H:H,Sheet6!G:G)</f>
        <v>NTD</v>
      </c>
      <c r="D41" s="29" t="str">
        <f t="array" ref="D41">XLOOKUP(E41,'GSM T4.2026'!D:D,#REF!)</f>
        <v>#N/A</v>
      </c>
      <c r="E41" s="2" t="s">
        <v>138</v>
      </c>
      <c r="F41" s="73">
        <v>45753.0</v>
      </c>
      <c r="G41" s="38">
        <f t="shared" si="3"/>
        <v>45750</v>
      </c>
      <c r="H41" s="39">
        <f t="shared" si="2"/>
        <v>45748</v>
      </c>
      <c r="I41" s="74" t="s">
        <v>139</v>
      </c>
      <c r="J41" s="35" t="s">
        <v>44</v>
      </c>
      <c r="K41" s="36" t="s">
        <v>7</v>
      </c>
      <c r="P41" s="2"/>
      <c r="T41" s="72"/>
      <c r="U41" s="72"/>
      <c r="V41" s="72"/>
      <c r="W41" s="72"/>
    </row>
    <row r="42">
      <c r="A42" s="27">
        <f t="shared" si="1"/>
        <v>33</v>
      </c>
      <c r="B42" s="2" t="str">
        <f t="array" ref="B42">XLOOKUP(E42,'GSM T4.2026'!D:D,'GSM T4.2026'!F:F)</f>
        <v>#N/A</v>
      </c>
      <c r="C42" s="28" t="str">
        <f t="array" ref="C42">XLOOKUP(E42,Sheet6!H:H,Sheet6!G:G)</f>
        <v>NTO</v>
      </c>
      <c r="D42" s="29" t="str">
        <f t="array" ref="D42">XLOOKUP(E42,'GSM T4.2026'!D:D,#REF!)</f>
        <v>#N/A</v>
      </c>
      <c r="E42" s="30" t="s">
        <v>140</v>
      </c>
      <c r="F42" s="60">
        <v>45755.0</v>
      </c>
      <c r="G42" s="32">
        <f t="shared" si="3"/>
        <v>45752</v>
      </c>
      <c r="H42" s="33">
        <f t="shared" si="2"/>
        <v>45750</v>
      </c>
      <c r="I42" s="74" t="s">
        <v>141</v>
      </c>
      <c r="J42" s="35" t="s">
        <v>44</v>
      </c>
      <c r="K42" s="36" t="s">
        <v>7</v>
      </c>
      <c r="P42" s="2"/>
      <c r="T42" s="40" t="s">
        <v>142</v>
      </c>
      <c r="U42" s="36" t="s">
        <v>143</v>
      </c>
      <c r="V42" s="36"/>
      <c r="W42" s="36"/>
    </row>
    <row r="43">
      <c r="A43" s="27">
        <f t="shared" si="1"/>
        <v>34</v>
      </c>
      <c r="B43" s="2" t="str">
        <f t="array" ref="B43">XLOOKUP(E43,'GSM T4.2026'!D:D,'GSM T4.2026'!F:F)</f>
        <v>#N/A</v>
      </c>
      <c r="C43" s="28" t="str">
        <f t="array" ref="C43">XLOOKUP(E43,Sheet6!H:H,Sheet6!G:G)</f>
        <v>HNG</v>
      </c>
      <c r="D43" s="29" t="str">
        <f t="array" ref="D43">XLOOKUP(E43,'GSM T4.2026'!D:D,#REF!)</f>
        <v>#N/A</v>
      </c>
      <c r="E43" s="75" t="s">
        <v>144</v>
      </c>
      <c r="F43" s="60">
        <v>45756.0</v>
      </c>
      <c r="G43" s="32">
        <f t="shared" si="3"/>
        <v>45753</v>
      </c>
      <c r="H43" s="33">
        <f t="shared" si="2"/>
        <v>45751</v>
      </c>
      <c r="I43" s="74" t="s">
        <v>145</v>
      </c>
      <c r="J43" s="35" t="s">
        <v>44</v>
      </c>
      <c r="K43" s="36" t="s">
        <v>7</v>
      </c>
      <c r="M43" s="2"/>
      <c r="N43" s="2"/>
      <c r="O43" s="2"/>
      <c r="P43" s="2"/>
      <c r="T43" s="74" t="s">
        <v>146</v>
      </c>
      <c r="U43" s="46">
        <v>45662.0</v>
      </c>
      <c r="V43" s="46"/>
      <c r="W43" s="46"/>
    </row>
    <row r="44">
      <c r="A44" s="27">
        <f t="shared" si="1"/>
        <v>35</v>
      </c>
      <c r="B44" s="2" t="str">
        <f t="array" ref="B44">XLOOKUP(E44,'GSM T4.2026'!D:D,'GSM T4.2026'!F:F)</f>
        <v>#N/A</v>
      </c>
      <c r="C44" s="28" t="str">
        <f t="array" ref="C44">XLOOKUP(E44,Sheet6!H:H,Sheet6!G:G)</f>
        <v>CLG</v>
      </c>
      <c r="D44" s="29" t="str">
        <f t="array" ref="D44">XLOOKUP(E44,'GSM T4.2026'!D:D,#REF!)</f>
        <v>#N/A</v>
      </c>
      <c r="E44" s="75" t="s">
        <v>147</v>
      </c>
      <c r="F44" s="60">
        <v>45757.0</v>
      </c>
      <c r="G44" s="32">
        <v>45753.0</v>
      </c>
      <c r="H44" s="33">
        <f t="shared" si="2"/>
        <v>45752</v>
      </c>
      <c r="I44" s="74" t="s">
        <v>148</v>
      </c>
      <c r="J44" s="35" t="s">
        <v>44</v>
      </c>
      <c r="K44" s="36" t="s">
        <v>7</v>
      </c>
      <c r="T44" s="40" t="s">
        <v>143</v>
      </c>
      <c r="U44" s="46">
        <v>45662.0</v>
      </c>
      <c r="V44" s="46"/>
      <c r="W44" s="46"/>
    </row>
    <row r="45">
      <c r="A45" s="27">
        <f t="shared" si="1"/>
        <v>36</v>
      </c>
      <c r="B45" s="2" t="str">
        <f t="array" ref="B45">XLOOKUP(E45,'GSM T4.2026'!D:D,'GSM T4.2026'!F:F)</f>
        <v>#N/A</v>
      </c>
      <c r="C45" s="28" t="str">
        <f t="array" ref="C45">XLOOKUP(E45,Sheet6!H:H,Sheet6!G:G)</f>
        <v>ACU</v>
      </c>
      <c r="D45" s="29" t="str">
        <f t="array" ref="D45">XLOOKUP(E45,'GSM T4.2026'!D:D,#REF!)</f>
        <v>#N/A</v>
      </c>
      <c r="E45" s="30" t="s">
        <v>149</v>
      </c>
      <c r="F45" s="60">
        <v>45757.0</v>
      </c>
      <c r="G45" s="32">
        <v>45753.0</v>
      </c>
      <c r="H45" s="33">
        <f t="shared" si="2"/>
        <v>45752</v>
      </c>
      <c r="I45" s="74" t="s">
        <v>148</v>
      </c>
      <c r="J45" s="35" t="s">
        <v>44</v>
      </c>
      <c r="K45" s="36" t="s">
        <v>7</v>
      </c>
      <c r="T45" s="74" t="s">
        <v>150</v>
      </c>
      <c r="U45" s="36" t="s">
        <v>151</v>
      </c>
    </row>
    <row r="46">
      <c r="A46" s="27">
        <f t="shared" si="1"/>
        <v>37</v>
      </c>
      <c r="B46" s="2" t="str">
        <f t="array" ref="B46">XLOOKUP(E46,'GSM T4.2026'!D:D,'GSM T4.2026'!F:F)</f>
        <v>#N/A</v>
      </c>
      <c r="C46" s="28" t="str">
        <f t="array" ref="C46">XLOOKUP(E46,Sheet6!H:H,Sheet6!G:G)</f>
        <v>TSO</v>
      </c>
      <c r="D46" s="29" t="str">
        <f t="array" ref="D46">XLOOKUP(E46,'GSM T4.2026'!D:D,#REF!)</f>
        <v>#N/A</v>
      </c>
      <c r="E46" s="2" t="s">
        <v>152</v>
      </c>
      <c r="F46" s="37">
        <v>45761.0</v>
      </c>
      <c r="G46" s="38">
        <f>F46-3</f>
        <v>45758</v>
      </c>
      <c r="H46" s="39">
        <f>F46-4</f>
        <v>45757</v>
      </c>
      <c r="I46" s="74" t="s">
        <v>153</v>
      </c>
      <c r="J46" s="35" t="s">
        <v>44</v>
      </c>
      <c r="K46" s="36" t="s">
        <v>7</v>
      </c>
      <c r="L46" s="35"/>
      <c r="T46" s="74" t="s">
        <v>154</v>
      </c>
      <c r="U46" s="46">
        <v>45873.0</v>
      </c>
    </row>
    <row r="47">
      <c r="A47" s="27">
        <f t="shared" si="1"/>
        <v>38</v>
      </c>
      <c r="B47" s="2" t="str">
        <f t="array" ref="B47">XLOOKUP(E47,'GSM T4.2026'!D:D,'GSM T4.2026'!F:F)</f>
        <v>#N/A</v>
      </c>
      <c r="C47" s="28" t="str">
        <f t="array" ref="C47">XLOOKUP(E47,Sheet6!H:H,Sheet6!G:G)</f>
        <v>Q7R</v>
      </c>
      <c r="D47" s="29" t="str">
        <f t="array" ref="D47">XLOOKUP(E47,'GSM T4.2026'!D:D,#REF!)</f>
        <v>#N/A</v>
      </c>
      <c r="E47" s="58" t="s">
        <v>155</v>
      </c>
      <c r="F47" s="73" t="s">
        <v>156</v>
      </c>
      <c r="G47" s="38">
        <v>45758.0</v>
      </c>
      <c r="H47" s="39">
        <v>45757.0</v>
      </c>
      <c r="I47" s="74" t="s">
        <v>153</v>
      </c>
      <c r="J47" s="35" t="s">
        <v>44</v>
      </c>
      <c r="K47" s="36" t="s">
        <v>7</v>
      </c>
      <c r="L47" s="76"/>
      <c r="T47" s="74" t="s">
        <v>154</v>
      </c>
      <c r="U47" s="46">
        <v>45904.0</v>
      </c>
    </row>
    <row r="48">
      <c r="A48" s="27">
        <f t="shared" si="1"/>
        <v>39</v>
      </c>
      <c r="B48" s="2" t="str">
        <f t="array" ref="B48">XLOOKUP(E48,'GSM T4.2026'!D:D,'GSM T4.2026'!F:F)</f>
        <v>#N/A</v>
      </c>
      <c r="C48" s="28" t="str">
        <f t="array" ref="C48">XLOOKUP(E48,Sheet6!H:H,Sheet6!G:G)</f>
        <v>SFR</v>
      </c>
      <c r="D48" s="29" t="str">
        <f t="array" ref="D48">XLOOKUP(E48,'GSM T4.2026'!D:D,#REF!)</f>
        <v>#N/A</v>
      </c>
      <c r="E48" s="2" t="s">
        <v>157</v>
      </c>
      <c r="F48" s="37">
        <v>45762.0</v>
      </c>
      <c r="G48" s="38">
        <f t="shared" ref="G48:G50" si="4">F48-3</f>
        <v>45759</v>
      </c>
      <c r="H48" s="39">
        <f t="shared" ref="H48:H50" si="5">F48-5</f>
        <v>45757</v>
      </c>
      <c r="I48" s="74" t="s">
        <v>158</v>
      </c>
      <c r="J48" s="35" t="s">
        <v>44</v>
      </c>
      <c r="K48" s="36" t="s">
        <v>7</v>
      </c>
      <c r="T48" s="41">
        <v>45692.0</v>
      </c>
      <c r="U48" s="46">
        <v>45904.0</v>
      </c>
    </row>
    <row r="49">
      <c r="A49" s="27">
        <f t="shared" si="1"/>
        <v>40</v>
      </c>
      <c r="B49" s="2" t="str">
        <f t="array" ref="B49">XLOOKUP(E49,'GSM T4.2026'!D:D,'GSM T4.2026'!F:F)</f>
        <v>#N/A</v>
      </c>
      <c r="C49" s="28" t="str">
        <f t="array" ref="C49">XLOOKUP(E49,Sheet6!H:H,Sheet6!G:G)</f>
        <v>QHG</v>
      </c>
      <c r="D49" s="29" t="str">
        <f t="array" ref="D49">XLOOKUP(E49,'GSM T4.2026'!D:D,#REF!)</f>
        <v>#N/A</v>
      </c>
      <c r="E49" s="2" t="s">
        <v>159</v>
      </c>
      <c r="F49" s="37">
        <v>45764.0</v>
      </c>
      <c r="G49" s="38">
        <f t="shared" si="4"/>
        <v>45761</v>
      </c>
      <c r="H49" s="39">
        <f t="shared" si="5"/>
        <v>45759</v>
      </c>
      <c r="I49" s="74" t="s">
        <v>160</v>
      </c>
      <c r="J49" s="35" t="s">
        <v>44</v>
      </c>
      <c r="K49" s="36" t="s">
        <v>7</v>
      </c>
      <c r="T49" s="74" t="s">
        <v>154</v>
      </c>
      <c r="U49" s="46">
        <v>45965.0</v>
      </c>
    </row>
    <row r="50">
      <c r="A50" s="27">
        <f t="shared" si="1"/>
        <v>41</v>
      </c>
      <c r="B50" s="2" t="str">
        <f t="array" ref="B50">XLOOKUP(E50,'GSM T4.2026'!D:D,'GSM T4.2026'!F:F)</f>
        <v>#N/A</v>
      </c>
      <c r="C50" s="28" t="str">
        <f t="array" ref="C50">XLOOKUP(E50,Sheet6!H:H,Sheet6!G:G)</f>
        <v>DXH</v>
      </c>
      <c r="D50" s="29" t="str">
        <f t="array" ref="D50">XLOOKUP(E50,'GSM T4.2026'!D:D,#REF!)</f>
        <v>#N/A</v>
      </c>
      <c r="E50" s="2" t="s">
        <v>161</v>
      </c>
      <c r="F50" s="37">
        <v>45766.0</v>
      </c>
      <c r="G50" s="38">
        <f t="shared" si="4"/>
        <v>45763</v>
      </c>
      <c r="H50" s="39">
        <f t="shared" si="5"/>
        <v>45761</v>
      </c>
      <c r="I50" s="74" t="s">
        <v>162</v>
      </c>
      <c r="J50" s="35" t="s">
        <v>44</v>
      </c>
      <c r="K50" s="36" t="s">
        <v>7</v>
      </c>
      <c r="T50" s="41">
        <v>45692.0</v>
      </c>
      <c r="U50" s="46">
        <v>45995.0</v>
      </c>
    </row>
    <row r="51">
      <c r="A51" s="27">
        <f t="shared" si="1"/>
        <v>42</v>
      </c>
      <c r="B51" s="2" t="str">
        <f t="array" ref="B51">XLOOKUP(E51,'GSM T4.2026'!D:D,'GSM T4.2026'!F:F)</f>
        <v>#N/A</v>
      </c>
      <c r="C51" s="28" t="str">
        <f t="array" ref="C51">XLOOKUP(E51,Sheet6!H:H,Sheet6!G:G)</f>
        <v>VTG</v>
      </c>
      <c r="D51" s="29" t="str">
        <f t="array" ref="D51">XLOOKUP(E51,'GSM T4.2026'!D:D,#REF!)</f>
        <v>#N/A</v>
      </c>
      <c r="E51" s="2" t="s">
        <v>163</v>
      </c>
      <c r="F51" s="59" t="s">
        <v>164</v>
      </c>
      <c r="G51" s="27" t="s">
        <v>165</v>
      </c>
      <c r="H51" s="39">
        <v>45761.0</v>
      </c>
      <c r="I51" s="74" t="s">
        <v>162</v>
      </c>
      <c r="J51" s="35" t="s">
        <v>44</v>
      </c>
      <c r="K51" s="36" t="s">
        <v>7</v>
      </c>
      <c r="L51" s="57">
        <v>45935.0</v>
      </c>
      <c r="T51" s="41">
        <v>45781.0</v>
      </c>
      <c r="U51" s="36" t="s">
        <v>166</v>
      </c>
    </row>
    <row r="52">
      <c r="A52" s="27">
        <f t="shared" si="1"/>
        <v>43</v>
      </c>
      <c r="B52" s="2" t="str">
        <f t="array" ref="B52">XLOOKUP(E52,'GSM T4.2026'!D:D,'GSM T4.2026'!F:F)</f>
        <v>#N/A</v>
      </c>
      <c r="C52" s="28" t="str">
        <f t="array" ref="C52">XLOOKUP(E52,Sheet6!H:H,Sheet6!G:G)</f>
        <v>VH3</v>
      </c>
      <c r="D52" s="29" t="str">
        <f t="array" ref="D52">XLOOKUP(E52,'GSM T4.2026'!D:D,#REF!)</f>
        <v>#N/A</v>
      </c>
      <c r="E52" s="30" t="s">
        <v>167</v>
      </c>
      <c r="F52" s="60">
        <v>45770.0</v>
      </c>
      <c r="G52" s="32">
        <f t="shared" ref="G52:G53" si="6">F52-3</f>
        <v>45767</v>
      </c>
      <c r="H52" s="33">
        <f t="shared" ref="H52:H53" si="7">F52-5</f>
        <v>45765</v>
      </c>
      <c r="I52" s="74" t="s">
        <v>168</v>
      </c>
      <c r="J52" s="35" t="s">
        <v>44</v>
      </c>
      <c r="K52" s="36" t="s">
        <v>7</v>
      </c>
      <c r="T52" s="41">
        <v>45781.0</v>
      </c>
      <c r="U52" s="36" t="s">
        <v>166</v>
      </c>
    </row>
    <row r="53">
      <c r="A53" s="27">
        <f t="shared" si="1"/>
        <v>44</v>
      </c>
      <c r="B53" s="2" t="str">
        <f t="array" ref="B53">XLOOKUP(E53,'GSM T4.2026'!D:D,'GSM T4.2026'!F:F)</f>
        <v>#N/A</v>
      </c>
      <c r="C53" s="28" t="str">
        <f t="array" ref="C53">XLOOKUP(E53,Sheet6!H:H,Sheet6!G:G)</f>
        <v>CHR</v>
      </c>
      <c r="D53" s="29" t="str">
        <f t="array" ref="D53">XLOOKUP(E53,'GSM T4.2026'!D:D,#REF!)</f>
        <v>#N/A</v>
      </c>
      <c r="E53" s="30" t="s">
        <v>169</v>
      </c>
      <c r="F53" s="60">
        <v>45770.0</v>
      </c>
      <c r="G53" s="32">
        <f t="shared" si="6"/>
        <v>45767</v>
      </c>
      <c r="H53" s="33">
        <f t="shared" si="7"/>
        <v>45765</v>
      </c>
      <c r="I53" s="74" t="s">
        <v>170</v>
      </c>
      <c r="J53" s="35" t="s">
        <v>44</v>
      </c>
      <c r="K53" s="36" t="s">
        <v>7</v>
      </c>
      <c r="L53" s="77"/>
      <c r="T53" s="74" t="s">
        <v>171</v>
      </c>
      <c r="U53" s="36" t="s">
        <v>172</v>
      </c>
    </row>
    <row r="54">
      <c r="A54" s="27">
        <f t="shared" si="1"/>
        <v>45</v>
      </c>
      <c r="B54" s="2" t="str">
        <f t="array" ref="B54">XLOOKUP(E54,'GSM T4.2026'!D:D,'GSM T4.2026'!F:F)</f>
        <v>#N/A</v>
      </c>
      <c r="C54" s="28" t="str">
        <f t="array" ref="C54">XLOOKUP(E54,Sheet6!H:H,Sheet6!G:G)</f>
        <v>HHG</v>
      </c>
      <c r="D54" s="29" t="str">
        <f t="array" ref="D54">XLOOKUP(E54,'GSM T4.2026'!D:D,#REF!)</f>
        <v>#N/A</v>
      </c>
      <c r="E54" s="75" t="s">
        <v>173</v>
      </c>
      <c r="F54" s="78" t="s">
        <v>174</v>
      </c>
      <c r="G54" s="79" t="s">
        <v>175</v>
      </c>
      <c r="H54" s="32">
        <v>45766.0</v>
      </c>
      <c r="I54" s="74" t="s">
        <v>168</v>
      </c>
      <c r="J54" s="35" t="s">
        <v>44</v>
      </c>
      <c r="K54" s="36" t="s">
        <v>7</v>
      </c>
      <c r="T54" s="41">
        <v>45842.0</v>
      </c>
      <c r="U54" s="36" t="s">
        <v>176</v>
      </c>
    </row>
    <row r="55">
      <c r="A55" s="27">
        <f t="shared" si="1"/>
        <v>46</v>
      </c>
      <c r="B55" s="2" t="str">
        <f t="array" ref="B55">XLOOKUP(E55,'GSM T4.2026'!D:D,'GSM T4.2026'!F:F)</f>
        <v>#N/A</v>
      </c>
      <c r="C55" s="28" t="str">
        <f t="array" ref="C55">XLOOKUP(E55,Sheet6!H:H,Sheet6!G:G)</f>
        <v>TNT</v>
      </c>
      <c r="D55" s="29" t="str">
        <f t="array" ref="D55">XLOOKUP(E55,'GSM T4.2026'!D:D,#REF!)</f>
        <v>#N/A</v>
      </c>
      <c r="E55" s="30" t="s">
        <v>177</v>
      </c>
      <c r="F55" s="60">
        <v>45771.0</v>
      </c>
      <c r="G55" s="32">
        <f t="shared" ref="G55:G57" si="8">F55-3</f>
        <v>45768</v>
      </c>
      <c r="H55" s="33">
        <f t="shared" ref="H55:H57" si="9">F55-5</f>
        <v>45766</v>
      </c>
      <c r="I55" s="74" t="s">
        <v>168</v>
      </c>
      <c r="J55" s="35" t="s">
        <v>44</v>
      </c>
      <c r="K55" s="36" t="s">
        <v>7</v>
      </c>
      <c r="T55" s="41">
        <v>45842.0</v>
      </c>
      <c r="U55" s="36" t="s">
        <v>176</v>
      </c>
    </row>
    <row r="56">
      <c r="A56" s="27">
        <f t="shared" si="1"/>
        <v>47</v>
      </c>
      <c r="B56" s="2" t="str">
        <f t="array" ref="B56">XLOOKUP(E56,'GSM T4.2026'!D:D,'GSM T4.2026'!F:F)</f>
        <v>#N/A</v>
      </c>
      <c r="C56" s="28" t="str">
        <f t="array" ref="C56">XLOOKUP(E56,Sheet6!H:H,Sheet6!G:G)</f>
        <v>AV4</v>
      </c>
      <c r="D56" s="29" t="str">
        <f t="array" ref="D56">XLOOKUP(E56,'GSM T4.2026'!D:D,#REF!)</f>
        <v>#N/A</v>
      </c>
      <c r="E56" s="30" t="s">
        <v>178</v>
      </c>
      <c r="F56" s="60">
        <v>45774.0</v>
      </c>
      <c r="G56" s="32">
        <f t="shared" si="8"/>
        <v>45771</v>
      </c>
      <c r="H56" s="33">
        <f t="shared" si="9"/>
        <v>45769</v>
      </c>
      <c r="I56" s="74" t="s">
        <v>179</v>
      </c>
      <c r="J56" s="35" t="s">
        <v>44</v>
      </c>
      <c r="K56" s="36" t="s">
        <v>7</v>
      </c>
      <c r="T56" s="41">
        <v>45842.0</v>
      </c>
      <c r="U56" s="36" t="s">
        <v>180</v>
      </c>
    </row>
    <row r="57">
      <c r="A57" s="27">
        <f t="shared" si="1"/>
        <v>48</v>
      </c>
      <c r="B57" s="2" t="str">
        <f t="array" ref="B57">XLOOKUP(E57,'GSM T4.2026'!D:D,'GSM T4.2026'!F:F)</f>
        <v>#N/A</v>
      </c>
      <c r="C57" s="28" t="str">
        <f t="array" ref="C57">XLOOKUP(E57,Sheet6!H:H,Sheet6!G:G)</f>
        <v>EH3</v>
      </c>
      <c r="D57" s="29" t="str">
        <f t="array" ref="D57">XLOOKUP(E57,'GSM T4.2026'!D:D,#REF!)</f>
        <v>#N/A</v>
      </c>
      <c r="E57" s="58" t="s">
        <v>181</v>
      </c>
      <c r="F57" s="73">
        <v>45784.0</v>
      </c>
      <c r="G57" s="38">
        <f t="shared" si="8"/>
        <v>45781</v>
      </c>
      <c r="H57" s="39">
        <f t="shared" si="9"/>
        <v>45779</v>
      </c>
      <c r="I57" s="74" t="s">
        <v>182</v>
      </c>
      <c r="J57" s="35" t="s">
        <v>44</v>
      </c>
      <c r="K57" s="36" t="s">
        <v>7</v>
      </c>
      <c r="T57" s="41">
        <v>45995.0</v>
      </c>
      <c r="U57" s="36" t="s">
        <v>183</v>
      </c>
    </row>
    <row r="58">
      <c r="A58" s="27">
        <f t="shared" si="1"/>
        <v>49</v>
      </c>
      <c r="B58" s="2" t="str">
        <f t="array" ref="B58">XLOOKUP(E58,'GSM T4.2026'!D:D,'GSM T4.2026'!F:F)</f>
        <v>#N/A</v>
      </c>
      <c r="C58" s="28" t="str">
        <f t="array" ref="C58">XLOOKUP(E58,Sheet6!H:H,Sheet6!G:G)</f>
        <v>TNO</v>
      </c>
      <c r="D58" s="29" t="str">
        <f t="array" ref="D58">XLOOKUP(E58,'GSM T4.2026'!D:D,#REF!)</f>
        <v>#N/A</v>
      </c>
      <c r="E58" s="30" t="s">
        <v>184</v>
      </c>
      <c r="F58" s="60">
        <v>45789.0</v>
      </c>
      <c r="G58" s="32">
        <v>45786.0</v>
      </c>
      <c r="H58" s="33">
        <v>45784.0</v>
      </c>
      <c r="I58" s="74" t="s">
        <v>185</v>
      </c>
      <c r="J58" s="35" t="s">
        <v>44</v>
      </c>
      <c r="K58" s="36" t="s">
        <v>7</v>
      </c>
      <c r="T58" s="74" t="s">
        <v>142</v>
      </c>
      <c r="U58" s="36" t="s">
        <v>186</v>
      </c>
    </row>
    <row r="59">
      <c r="A59" s="27">
        <f t="shared" si="1"/>
        <v>50</v>
      </c>
      <c r="B59" s="2" t="str">
        <f t="array" ref="B59">XLOOKUP(E59,'GSM T4.2026'!D:D,'GSM T4.2026'!F:F)</f>
        <v>#N/A</v>
      </c>
      <c r="C59" s="28" t="str">
        <f t="array" ref="C59">XLOOKUP(E59,Sheet6!H:H,Sheet6!G:G)</f>
        <v>BCG</v>
      </c>
      <c r="D59" s="29" t="str">
        <f t="array" ref="D59">XLOOKUP(E59,'GSM T4.2026'!D:D,#REF!)</f>
        <v>#N/A</v>
      </c>
      <c r="E59" s="30" t="s">
        <v>187</v>
      </c>
      <c r="F59" s="31">
        <v>45790.0</v>
      </c>
      <c r="G59" s="32">
        <f t="shared" ref="G59:G121" si="10">F59-3</f>
        <v>45787</v>
      </c>
      <c r="H59" s="33">
        <f t="shared" ref="H59:H119" si="11">F59-5</f>
        <v>45785</v>
      </c>
      <c r="I59" s="74" t="s">
        <v>188</v>
      </c>
      <c r="J59" s="35" t="s">
        <v>44</v>
      </c>
      <c r="K59" s="36" t="s">
        <v>7</v>
      </c>
      <c r="T59" s="74" t="s">
        <v>142</v>
      </c>
      <c r="U59" s="36" t="s">
        <v>189</v>
      </c>
    </row>
    <row r="60">
      <c r="A60" s="27">
        <f t="shared" si="1"/>
        <v>51</v>
      </c>
      <c r="B60" s="2" t="str">
        <f t="array" ref="B60">XLOOKUP(E60,'GSM T4.2026'!D:D,'GSM T4.2026'!F:F)</f>
        <v>#N/A</v>
      </c>
      <c r="C60" s="28" t="str">
        <f t="array" ref="C60">XLOOKUP(E60,Sheet6!H:H,Sheet6!G:G)</f>
        <v>OPS</v>
      </c>
      <c r="D60" s="29" t="str">
        <f t="array" ref="D60">XLOOKUP(E60,'GSM T4.2026'!D:D,#REF!)</f>
        <v>#N/A</v>
      </c>
      <c r="E60" s="52" t="s">
        <v>190</v>
      </c>
      <c r="F60" s="73">
        <v>45790.0</v>
      </c>
      <c r="G60" s="38">
        <f t="shared" si="10"/>
        <v>45787</v>
      </c>
      <c r="H60" s="39">
        <f t="shared" si="11"/>
        <v>45785</v>
      </c>
      <c r="I60" s="80" t="s">
        <v>191</v>
      </c>
      <c r="J60" s="35" t="s">
        <v>44</v>
      </c>
      <c r="K60" s="36" t="s">
        <v>7</v>
      </c>
      <c r="S60" s="57"/>
      <c r="T60" s="74" t="s">
        <v>192</v>
      </c>
      <c r="U60" s="36" t="s">
        <v>193</v>
      </c>
    </row>
    <row r="61">
      <c r="A61" s="27">
        <f t="shared" si="1"/>
        <v>52</v>
      </c>
      <c r="B61" s="2" t="str">
        <f t="array" ref="B61">XLOOKUP(E61,'GSM T4.2026'!D:D,'GSM T4.2026'!F:F)</f>
        <v>#N/A</v>
      </c>
      <c r="C61" s="28" t="str">
        <f t="array" ref="C61">XLOOKUP(E61,Sheet6!H:H,Sheet6!G:G)</f>
        <v>LVT</v>
      </c>
      <c r="D61" s="29" t="str">
        <f t="array" ref="D61">XLOOKUP(E61,'GSM T4.2026'!D:D,#REF!)</f>
        <v>#N/A</v>
      </c>
      <c r="E61" s="30" t="s">
        <v>194</v>
      </c>
      <c r="F61" s="81">
        <v>45790.0</v>
      </c>
      <c r="G61" s="32">
        <f t="shared" si="10"/>
        <v>45787</v>
      </c>
      <c r="H61" s="33">
        <f t="shared" si="11"/>
        <v>45785</v>
      </c>
      <c r="I61" s="74" t="s">
        <v>195</v>
      </c>
      <c r="J61" s="35" t="s">
        <v>44</v>
      </c>
      <c r="K61" s="36" t="s">
        <v>7</v>
      </c>
      <c r="T61" s="74" t="s">
        <v>176</v>
      </c>
      <c r="U61" s="36" t="s">
        <v>196</v>
      </c>
    </row>
    <row r="62">
      <c r="A62" s="27">
        <f t="shared" si="1"/>
        <v>53</v>
      </c>
      <c r="B62" s="2" t="str">
        <f t="array" ref="B62">XLOOKUP(E62,'GSM T4.2026'!D:D,'GSM T4.2026'!F:F)</f>
        <v>#N/A</v>
      </c>
      <c r="C62" s="28" t="str">
        <f t="array" ref="C62">XLOOKUP(E62,Sheet6!H:H,Sheet6!G:G)</f>
        <v>DS3</v>
      </c>
      <c r="D62" s="29" t="str">
        <f t="array" ref="D62">XLOOKUP(E62,'GSM T4.2026'!D:D,#REF!)</f>
        <v>#N/A</v>
      </c>
      <c r="E62" s="30" t="s">
        <v>197</v>
      </c>
      <c r="F62" s="31">
        <v>45791.0</v>
      </c>
      <c r="G62" s="32">
        <f t="shared" si="10"/>
        <v>45788</v>
      </c>
      <c r="H62" s="33">
        <f t="shared" si="11"/>
        <v>45786</v>
      </c>
      <c r="I62" s="74" t="s">
        <v>198</v>
      </c>
      <c r="J62" s="35" t="s">
        <v>44</v>
      </c>
      <c r="K62" s="36" t="s">
        <v>7</v>
      </c>
      <c r="T62" s="74" t="s">
        <v>192</v>
      </c>
      <c r="U62" s="36" t="s">
        <v>193</v>
      </c>
    </row>
    <row r="63">
      <c r="A63" s="27">
        <f t="shared" si="1"/>
        <v>54</v>
      </c>
      <c r="B63" s="2" t="str">
        <f t="array" ref="B63">XLOOKUP(E63,'GSM T4.2026'!D:D,'GSM T4.2026'!F:F)</f>
        <v>#N/A</v>
      </c>
      <c r="C63" s="28" t="str">
        <f t="array" ref="C63">XLOOKUP(E63,Sheet6!H:H,Sheet6!G:G)</f>
        <v>CN1</v>
      </c>
      <c r="D63" s="29" t="str">
        <f t="array" ref="D63">XLOOKUP(E63,'GSM T4.2026'!D:D,#REF!)</f>
        <v>#N/A</v>
      </c>
      <c r="E63" s="30" t="s">
        <v>199</v>
      </c>
      <c r="F63" s="31">
        <v>45792.0</v>
      </c>
      <c r="G63" s="32">
        <f t="shared" si="10"/>
        <v>45789</v>
      </c>
      <c r="H63" s="33">
        <f t="shared" si="11"/>
        <v>45787</v>
      </c>
      <c r="I63" s="74" t="s">
        <v>200</v>
      </c>
      <c r="J63" s="35" t="s">
        <v>44</v>
      </c>
      <c r="K63" s="36" t="s">
        <v>7</v>
      </c>
      <c r="L63" s="57">
        <v>45935.0</v>
      </c>
      <c r="T63" s="74" t="s">
        <v>192</v>
      </c>
      <c r="U63" s="36" t="s">
        <v>193</v>
      </c>
    </row>
    <row r="64">
      <c r="A64" s="27">
        <f t="shared" si="1"/>
        <v>55</v>
      </c>
      <c r="B64" s="2" t="str">
        <f t="array" ref="B64">XLOOKUP(E64,'GSM T4.2026'!D:D,'GSM T4.2026'!F:F)</f>
        <v>#N/A</v>
      </c>
      <c r="C64" s="28" t="str">
        <f t="array" ref="C64">XLOOKUP(E64,Sheet6!H:H,Sheet6!G:G)</f>
        <v>EHS</v>
      </c>
      <c r="D64" s="29" t="str">
        <f t="array" ref="D64">XLOOKUP(E64,'GSM T4.2026'!D:D,#REF!)</f>
        <v>#N/A</v>
      </c>
      <c r="E64" s="2" t="s">
        <v>201</v>
      </c>
      <c r="F64" s="82">
        <v>45792.0</v>
      </c>
      <c r="G64" s="38">
        <f t="shared" si="10"/>
        <v>45789</v>
      </c>
      <c r="H64" s="39">
        <f t="shared" si="11"/>
        <v>45787</v>
      </c>
      <c r="I64" s="74" t="s">
        <v>202</v>
      </c>
      <c r="J64" s="35" t="s">
        <v>44</v>
      </c>
      <c r="K64" s="36" t="s">
        <v>7</v>
      </c>
      <c r="M64" s="83" t="s">
        <v>203</v>
      </c>
      <c r="T64" s="74" t="s">
        <v>146</v>
      </c>
      <c r="U64" s="46">
        <v>45662.0</v>
      </c>
    </row>
    <row r="65">
      <c r="A65" s="27">
        <f t="shared" si="1"/>
        <v>56</v>
      </c>
      <c r="B65" s="2" t="str">
        <f t="array" ref="B65">XLOOKUP(E65,'GSM T4.2026'!D:D,'GSM T4.2026'!F:F)</f>
        <v>#N/A</v>
      </c>
      <c r="C65" s="28" t="str">
        <f t="array" ref="C65">XLOOKUP(E65,Sheet6!H:H,Sheet6!G:G)</f>
        <v>TMY</v>
      </c>
      <c r="D65" s="29" t="str">
        <f t="array" ref="D65">XLOOKUP(E65,'GSM T4.2026'!D:D,#REF!)</f>
        <v>#N/A</v>
      </c>
      <c r="E65" s="2" t="s">
        <v>204</v>
      </c>
      <c r="F65" s="73">
        <v>45792.0</v>
      </c>
      <c r="G65" s="38">
        <f t="shared" si="10"/>
        <v>45789</v>
      </c>
      <c r="H65" s="39">
        <f t="shared" si="11"/>
        <v>45787</v>
      </c>
      <c r="I65" s="74" t="s">
        <v>200</v>
      </c>
      <c r="J65" s="35" t="s">
        <v>44</v>
      </c>
      <c r="K65" s="36" t="s">
        <v>7</v>
      </c>
      <c r="L65" s="57">
        <v>45935.0</v>
      </c>
      <c r="T65" s="74" t="s">
        <v>205</v>
      </c>
      <c r="U65" s="46">
        <v>45874.0</v>
      </c>
    </row>
    <row r="66">
      <c r="A66" s="27">
        <f t="shared" si="1"/>
        <v>57</v>
      </c>
      <c r="B66" s="2"/>
      <c r="C66" s="84" t="str">
        <f t="array" ref="C66">XLOOKUP(E66,Sheet6!H:H,Sheet6!G:G)</f>
        <v>LVS</v>
      </c>
      <c r="D66" s="29"/>
      <c r="E66" s="85" t="s">
        <v>206</v>
      </c>
      <c r="F66" s="86">
        <v>45793.0</v>
      </c>
      <c r="G66" s="87">
        <f t="shared" si="10"/>
        <v>45790</v>
      </c>
      <c r="H66" s="86">
        <f t="shared" si="11"/>
        <v>45788</v>
      </c>
      <c r="I66" s="88" t="s">
        <v>207</v>
      </c>
      <c r="J66" s="89" t="s">
        <v>44</v>
      </c>
      <c r="K66" s="90" t="s">
        <v>7</v>
      </c>
      <c r="M66" s="86" t="s">
        <v>203</v>
      </c>
      <c r="N66" s="77"/>
      <c r="O66" s="77"/>
      <c r="P66" s="77"/>
      <c r="Q66" s="77"/>
      <c r="R66" s="77"/>
      <c r="S66" s="77"/>
      <c r="T66" s="74" t="s">
        <v>205</v>
      </c>
      <c r="U66" s="46">
        <v>45935.0</v>
      </c>
    </row>
    <row r="67">
      <c r="A67" s="27">
        <f t="shared" si="1"/>
        <v>58</v>
      </c>
      <c r="B67" s="2" t="str">
        <f t="array" ref="B67">XLOOKUP(E67,'GSM T4.2026'!D:D,'GSM T4.2026'!F:F)</f>
        <v>#N/A</v>
      </c>
      <c r="C67" s="28" t="str">
        <f t="array" ref="C67">XLOOKUP(E67,Sheet6!H:H,Sheet6!G:G)</f>
        <v>NTU</v>
      </c>
      <c r="D67" s="29" t="str">
        <f t="array" ref="D67">XLOOKUP(E67,'GSM T4.2026'!D:D,#REF!)</f>
        <v>#N/A</v>
      </c>
      <c r="E67" s="30" t="s">
        <v>208</v>
      </c>
      <c r="F67" s="31">
        <v>45794.0</v>
      </c>
      <c r="G67" s="32">
        <f t="shared" si="10"/>
        <v>45791</v>
      </c>
      <c r="H67" s="33">
        <f t="shared" si="11"/>
        <v>45789</v>
      </c>
      <c r="I67" s="74" t="s">
        <v>209</v>
      </c>
      <c r="J67" s="35" t="s">
        <v>44</v>
      </c>
      <c r="K67" s="36" t="s">
        <v>7</v>
      </c>
      <c r="T67" s="41">
        <v>45782.0</v>
      </c>
      <c r="U67" s="36" t="s">
        <v>210</v>
      </c>
    </row>
    <row r="68">
      <c r="A68" s="27">
        <f t="shared" si="1"/>
        <v>59</v>
      </c>
      <c r="B68" s="2" t="str">
        <f t="array" ref="B68">XLOOKUP(E68,'GSM T4.2026'!D:D,'GSM T4.2026'!F:F)</f>
        <v>#N/A</v>
      </c>
      <c r="C68" s="28" t="str">
        <f t="array" ref="C68">XLOOKUP(E68,Sheet6!H:H,Sheet6!G:G)</f>
        <v>VLA</v>
      </c>
      <c r="D68" s="29" t="str">
        <f t="array" ref="D68">XLOOKUP(E68,'GSM T4.2026'!D:D,#REF!)</f>
        <v>#N/A</v>
      </c>
      <c r="E68" s="30" t="s">
        <v>211</v>
      </c>
      <c r="F68" s="31">
        <v>45795.0</v>
      </c>
      <c r="G68" s="32">
        <f t="shared" si="10"/>
        <v>45792</v>
      </c>
      <c r="H68" s="33">
        <f t="shared" si="11"/>
        <v>45790</v>
      </c>
      <c r="I68" s="74" t="s">
        <v>212</v>
      </c>
      <c r="J68" s="35" t="s">
        <v>44</v>
      </c>
      <c r="K68" s="36" t="s">
        <v>7</v>
      </c>
      <c r="T68" s="41">
        <v>45782.0</v>
      </c>
      <c r="U68" s="36" t="s">
        <v>213</v>
      </c>
    </row>
    <row r="69">
      <c r="A69" s="27">
        <f t="shared" si="1"/>
        <v>60</v>
      </c>
      <c r="B69" s="2" t="str">
        <f t="array" ref="B69">XLOOKUP(E69,'GSM T4.2026'!D:D,'GSM T4.2026'!F:F)</f>
        <v>#N/A</v>
      </c>
      <c r="C69" s="28" t="str">
        <f t="array" ref="C69">XLOOKUP(E69,Sheet6!H:H,Sheet6!G:G)</f>
        <v>VH5</v>
      </c>
      <c r="D69" s="29" t="str">
        <f t="array" ref="D69">XLOOKUP(E69,'GSM T4.2026'!D:D,#REF!)</f>
        <v>#N/A</v>
      </c>
      <c r="E69" s="2" t="s">
        <v>214</v>
      </c>
      <c r="F69" s="81">
        <v>45796.0</v>
      </c>
      <c r="G69" s="38">
        <f t="shared" si="10"/>
        <v>45793</v>
      </c>
      <c r="H69" s="39">
        <f t="shared" si="11"/>
        <v>45791</v>
      </c>
      <c r="I69" s="40" t="s">
        <v>215</v>
      </c>
      <c r="J69" s="35" t="s">
        <v>44</v>
      </c>
      <c r="K69" s="36" t="s">
        <v>7</v>
      </c>
      <c r="M69" s="83" t="s">
        <v>203</v>
      </c>
      <c r="T69" s="41">
        <v>45782.0</v>
      </c>
      <c r="U69" s="36" t="s">
        <v>55</v>
      </c>
    </row>
    <row r="70">
      <c r="A70" s="27">
        <f t="shared" si="1"/>
        <v>61</v>
      </c>
      <c r="B70" s="2" t="str">
        <f t="array" ref="B70">XLOOKUP(E70,'GSM T4.2026'!D:D,'GSM T4.2026'!F:F)</f>
        <v>#N/A</v>
      </c>
      <c r="C70" s="28" t="str">
        <f t="array" ref="C70">XLOOKUP(E70,Sheet6!H:H,Sheet6!G:G)</f>
        <v>HNG</v>
      </c>
      <c r="D70" s="29" t="str">
        <f t="array" ref="D70">XLOOKUP(E70,'GSM T4.2026'!D:D,#REF!)</f>
        <v>#N/A</v>
      </c>
      <c r="E70" s="91" t="s">
        <v>216</v>
      </c>
      <c r="F70" s="73">
        <v>45798.0</v>
      </c>
      <c r="G70" s="38">
        <f t="shared" si="10"/>
        <v>45795</v>
      </c>
      <c r="H70" s="39">
        <f t="shared" si="11"/>
        <v>45793</v>
      </c>
      <c r="I70" s="80" t="s">
        <v>217</v>
      </c>
      <c r="J70" s="55" t="s">
        <v>44</v>
      </c>
      <c r="K70" s="36" t="s">
        <v>7</v>
      </c>
      <c r="M70" s="76"/>
      <c r="N70" s="76"/>
      <c r="O70" s="76"/>
      <c r="P70" s="76"/>
      <c r="Q70" s="76"/>
      <c r="R70" s="76"/>
      <c r="S70" s="76"/>
      <c r="T70" s="41">
        <v>45782.0</v>
      </c>
      <c r="U70" s="36" t="s">
        <v>55</v>
      </c>
    </row>
    <row r="71">
      <c r="A71" s="27">
        <f t="shared" si="1"/>
        <v>62</v>
      </c>
      <c r="B71" s="2" t="str">
        <f t="array" ref="B71">XLOOKUP(E71,'GSM T4.2026'!D:D,'GSM T4.2026'!F:F)</f>
        <v>#N/A</v>
      </c>
      <c r="C71" s="28" t="str">
        <f t="array" ref="C71">XLOOKUP(E71,Sheet6!H:H,Sheet6!G:G)</f>
        <v>HV2</v>
      </c>
      <c r="D71" s="29" t="str">
        <f t="array" ref="D71">XLOOKUP(E71,'GSM T4.2026'!D:D,#REF!)</f>
        <v>#N/A</v>
      </c>
      <c r="E71" s="2" t="s">
        <v>218</v>
      </c>
      <c r="F71" s="42">
        <v>46014.0</v>
      </c>
      <c r="G71" s="43">
        <f t="shared" si="10"/>
        <v>46011</v>
      </c>
      <c r="H71" s="44">
        <f t="shared" si="11"/>
        <v>46009</v>
      </c>
      <c r="I71" s="45" t="s">
        <v>219</v>
      </c>
      <c r="J71" s="92" t="s">
        <v>44</v>
      </c>
      <c r="K71" s="93" t="s">
        <v>7</v>
      </c>
      <c r="T71" s="41">
        <v>45782.0</v>
      </c>
      <c r="U71" s="36" t="s">
        <v>220</v>
      </c>
    </row>
    <row r="72">
      <c r="A72" s="27">
        <f t="shared" si="1"/>
        <v>63</v>
      </c>
      <c r="B72" s="2" t="str">
        <f t="array" ref="B72">XLOOKUP(E72,'GSM T4.2026'!D:D,'GSM T4.2026'!F:F)</f>
        <v>#N/A</v>
      </c>
      <c r="C72" s="28" t="str">
        <f t="array" ref="C72">XLOOKUP(E72,Sheet6!H:H,Sheet6!G:G)</f>
        <v>PHL</v>
      </c>
      <c r="D72" s="29" t="str">
        <f t="array" ref="D72">XLOOKUP(E72,'GSM T4.2026'!D:D,#REF!)</f>
        <v>#N/A</v>
      </c>
      <c r="E72" s="2" t="s">
        <v>221</v>
      </c>
      <c r="F72" s="37">
        <v>45826.0</v>
      </c>
      <c r="G72" s="38">
        <f t="shared" si="10"/>
        <v>45823</v>
      </c>
      <c r="H72" s="39">
        <f t="shared" si="11"/>
        <v>45821</v>
      </c>
      <c r="I72" s="74" t="s">
        <v>222</v>
      </c>
      <c r="J72" s="35" t="s">
        <v>44</v>
      </c>
      <c r="K72" s="94" t="s">
        <v>7</v>
      </c>
      <c r="Q72" s="95"/>
      <c r="T72" s="41">
        <v>45935.0</v>
      </c>
      <c r="U72" s="36" t="s">
        <v>47</v>
      </c>
    </row>
    <row r="73">
      <c r="A73" s="27">
        <f t="shared" si="1"/>
        <v>64</v>
      </c>
      <c r="B73" s="2" t="str">
        <f t="array" ref="B73">XLOOKUP(E73,'GSM T4.2026'!D:D,'GSM T4.2026'!F:F)</f>
        <v>#N/A</v>
      </c>
      <c r="C73" s="28" t="str">
        <f t="array" ref="C73">XLOOKUP(E73,Sheet6!H:H,Sheet6!G:G)</f>
        <v>NVT</v>
      </c>
      <c r="D73" s="29" t="str">
        <f t="array" ref="D73">XLOOKUP(E73,'GSM T4.2026'!D:D,#REF!)</f>
        <v>#N/A</v>
      </c>
      <c r="E73" s="30" t="s">
        <v>223</v>
      </c>
      <c r="F73" s="31">
        <v>45828.0</v>
      </c>
      <c r="G73" s="32">
        <f t="shared" si="10"/>
        <v>45825</v>
      </c>
      <c r="H73" s="33">
        <f t="shared" si="11"/>
        <v>45823</v>
      </c>
      <c r="I73" s="74" t="s">
        <v>224</v>
      </c>
      <c r="J73" s="35" t="s">
        <v>44</v>
      </c>
      <c r="K73" s="94" t="s">
        <v>7</v>
      </c>
      <c r="T73" s="41">
        <v>45996.0</v>
      </c>
      <c r="U73" s="36" t="s">
        <v>225</v>
      </c>
    </row>
    <row r="74">
      <c r="A74" s="27">
        <f t="shared" si="1"/>
        <v>65</v>
      </c>
      <c r="B74" s="2" t="str">
        <f t="array" ref="B74">XLOOKUP(E74,'GSM T4.2026'!D:D,'GSM T4.2026'!F:F)</f>
        <v>#N/A</v>
      </c>
      <c r="C74" s="28" t="str">
        <f t="array" ref="C74">XLOOKUP(E74,Sheet6!H:H,Sheet6!G:G)</f>
        <v>LVH</v>
      </c>
      <c r="D74" s="29" t="str">
        <f t="array" ref="D74">XLOOKUP(E74,'GSM T4.2026'!D:D,#REF!)</f>
        <v>#N/A</v>
      </c>
      <c r="E74" s="52" t="s">
        <v>226</v>
      </c>
      <c r="F74" s="82">
        <v>45831.0</v>
      </c>
      <c r="G74" s="38">
        <f t="shared" si="10"/>
        <v>45828</v>
      </c>
      <c r="H74" s="39">
        <f t="shared" si="11"/>
        <v>45826</v>
      </c>
      <c r="I74" s="74" t="s">
        <v>227</v>
      </c>
      <c r="J74" s="35" t="s">
        <v>44</v>
      </c>
      <c r="K74" s="94" t="s">
        <v>7</v>
      </c>
      <c r="M74" s="83" t="s">
        <v>203</v>
      </c>
      <c r="T74" s="41">
        <v>45843.0</v>
      </c>
      <c r="U74" s="36" t="s">
        <v>228</v>
      </c>
    </row>
    <row r="75">
      <c r="A75" s="27">
        <f t="shared" si="1"/>
        <v>66</v>
      </c>
      <c r="B75" s="2" t="str">
        <f t="array" ref="B75">XLOOKUP(E75,'GSM T4.2026'!D:D,'GSM T4.2026'!F:F)</f>
        <v>#N/A</v>
      </c>
      <c r="C75" s="28" t="str">
        <f t="array" ref="C75">XLOOKUP(E75,Sheet6!H:H,Sheet6!G:G)</f>
        <v>MTE</v>
      </c>
      <c r="D75" s="29" t="str">
        <f t="array" ref="D75">XLOOKUP(E75,'GSM T4.2026'!D:D,#REF!)</f>
        <v>#N/A</v>
      </c>
      <c r="E75" s="2" t="s">
        <v>229</v>
      </c>
      <c r="F75" s="73">
        <v>45831.0</v>
      </c>
      <c r="G75" s="38">
        <f t="shared" si="10"/>
        <v>45828</v>
      </c>
      <c r="H75" s="39">
        <f t="shared" si="11"/>
        <v>45826</v>
      </c>
      <c r="I75" s="74" t="s">
        <v>230</v>
      </c>
      <c r="J75" s="35" t="s">
        <v>44</v>
      </c>
      <c r="K75" s="94" t="s">
        <v>7</v>
      </c>
      <c r="T75" s="41">
        <v>45996.0</v>
      </c>
      <c r="U75" s="36" t="s">
        <v>231</v>
      </c>
    </row>
    <row r="76">
      <c r="A76" s="27">
        <f t="shared" si="1"/>
        <v>67</v>
      </c>
      <c r="B76" s="2" t="str">
        <f t="array" ref="B76">XLOOKUP(E76,'GSM T4.2026'!D:D,'GSM T4.2026'!F:F)</f>
        <v>#N/A</v>
      </c>
      <c r="C76" s="28" t="str">
        <f t="array" ref="C76">XLOOKUP(E76,Sheet6!H:H,Sheet6!G:G)</f>
        <v>NHG</v>
      </c>
      <c r="D76" s="29" t="str">
        <f t="array" ref="D76">XLOOKUP(E76,'GSM T4.2026'!D:D,#REF!)</f>
        <v>#N/A</v>
      </c>
      <c r="E76" s="30" t="s">
        <v>232</v>
      </c>
      <c r="F76" s="81">
        <v>45835.0</v>
      </c>
      <c r="G76" s="32">
        <f t="shared" si="10"/>
        <v>45832</v>
      </c>
      <c r="H76" s="33">
        <f t="shared" si="11"/>
        <v>45830</v>
      </c>
      <c r="I76" s="34" t="s">
        <v>233</v>
      </c>
      <c r="J76" s="35" t="s">
        <v>44</v>
      </c>
      <c r="K76" s="94" t="s">
        <v>7</v>
      </c>
      <c r="M76" s="83" t="s">
        <v>203</v>
      </c>
      <c r="T76" s="41">
        <v>45996.0</v>
      </c>
      <c r="U76" s="35" t="s">
        <v>47</v>
      </c>
      <c r="V76" s="35"/>
      <c r="W76" s="35"/>
    </row>
    <row r="77">
      <c r="A77" s="27">
        <f t="shared" si="1"/>
        <v>68</v>
      </c>
      <c r="B77" s="2" t="str">
        <f t="array" ref="B77">XLOOKUP(E77,'GSM T4.2026'!D:D,'GSM T4.2026'!F:F)</f>
        <v>#N/A</v>
      </c>
      <c r="C77" s="28" t="str">
        <f t="array" ref="C77">XLOOKUP(E77,Sheet6!H:H,Sheet6!G:G)</f>
        <v>PVB </v>
      </c>
      <c r="D77" s="29" t="str">
        <f t="array" ref="D77">XLOOKUP(E77,'GSM T4.2026'!D:D,#REF!)</f>
        <v>#N/A</v>
      </c>
      <c r="E77" s="96" t="s">
        <v>234</v>
      </c>
      <c r="F77" s="60">
        <v>45855.0</v>
      </c>
      <c r="G77" s="61">
        <f t="shared" si="10"/>
        <v>45852</v>
      </c>
      <c r="H77" s="62">
        <f t="shared" si="11"/>
        <v>45850</v>
      </c>
      <c r="I77" s="40" t="s">
        <v>235</v>
      </c>
      <c r="J77" s="35" t="s">
        <v>44</v>
      </c>
      <c r="K77" s="97" t="s">
        <v>7</v>
      </c>
      <c r="M77" s="51" t="s">
        <v>71</v>
      </c>
      <c r="T77" s="80" t="s">
        <v>220</v>
      </c>
      <c r="U77" s="98" t="s">
        <v>236</v>
      </c>
      <c r="V77" s="76"/>
      <c r="W77" s="76"/>
    </row>
    <row r="78">
      <c r="A78" s="27">
        <f t="shared" si="1"/>
        <v>69</v>
      </c>
      <c r="B78" s="2" t="str">
        <f t="array" ref="B78">XLOOKUP(E78,'GSM T4.2026'!D:D,'GSM T4.2026'!F:F)</f>
        <v>#N/A</v>
      </c>
      <c r="C78" s="28" t="str">
        <f t="array" ref="C78">XLOOKUP(E78,Sheet6!H:H,Sheet6!G:G)</f>
        <v>BQI</v>
      </c>
      <c r="D78" s="29" t="str">
        <f t="array" ref="D78">XLOOKUP(E78,'GSM T4.2026'!D:D,#REF!)</f>
        <v>#N/A</v>
      </c>
      <c r="E78" s="30" t="s">
        <v>237</v>
      </c>
      <c r="F78" s="81">
        <v>45858.0</v>
      </c>
      <c r="G78" s="32">
        <f t="shared" si="10"/>
        <v>45855</v>
      </c>
      <c r="H78" s="33">
        <f t="shared" si="11"/>
        <v>45853</v>
      </c>
      <c r="I78" s="34" t="s">
        <v>238</v>
      </c>
      <c r="J78" s="35" t="s">
        <v>44</v>
      </c>
      <c r="K78" s="97" t="s">
        <v>7</v>
      </c>
      <c r="M78" s="83" t="s">
        <v>203</v>
      </c>
      <c r="T78" s="80" t="s">
        <v>239</v>
      </c>
      <c r="U78" s="36" t="s">
        <v>240</v>
      </c>
    </row>
    <row r="79">
      <c r="A79" s="27">
        <f t="shared" si="1"/>
        <v>70</v>
      </c>
      <c r="B79" s="2" t="str">
        <f t="array" ref="B79">XLOOKUP(E79,'GSM T4.2026'!D:D,'GSM T4.2026'!F:F)</f>
        <v>#N/A</v>
      </c>
      <c r="C79" s="28" t="str">
        <f t="array" ref="C79">XLOOKUP(E79,Sheet6!H:H,Sheet6!G:G)</f>
        <v>AKR</v>
      </c>
      <c r="D79" s="29" t="str">
        <f t="array" ref="D79">XLOOKUP(E79,'GSM T4.2026'!D:D,#REF!)</f>
        <v>#N/A</v>
      </c>
      <c r="E79" s="2" t="s">
        <v>241</v>
      </c>
      <c r="F79" s="81">
        <v>45859.0</v>
      </c>
      <c r="G79" s="38">
        <f t="shared" si="10"/>
        <v>45856</v>
      </c>
      <c r="H79" s="39">
        <f t="shared" si="11"/>
        <v>45854</v>
      </c>
      <c r="I79" s="74" t="s">
        <v>242</v>
      </c>
      <c r="J79" s="35" t="s">
        <v>44</v>
      </c>
      <c r="K79" s="97" t="s">
        <v>7</v>
      </c>
      <c r="M79" s="83" t="s">
        <v>203</v>
      </c>
      <c r="T79" s="99" t="s">
        <v>243</v>
      </c>
      <c r="U79" s="36" t="s">
        <v>72</v>
      </c>
    </row>
    <row r="80">
      <c r="A80" s="27">
        <f t="shared" si="1"/>
        <v>71</v>
      </c>
      <c r="B80" s="2" t="str">
        <f t="array" ref="B80">XLOOKUP(E80,'GSM T4.2026'!D:D,'GSM T4.2026'!F:F)</f>
        <v>#N/A</v>
      </c>
      <c r="C80" s="28" t="str">
        <f t="array" ref="C80">XLOOKUP(E80,Sheet6!H:H,Sheet6!G:G)</f>
        <v>EMR</v>
      </c>
      <c r="D80" s="29" t="str">
        <f t="array" ref="D80">XLOOKUP(E80,'GSM T4.2026'!D:D,#REF!)</f>
        <v>#N/A</v>
      </c>
      <c r="E80" s="2" t="s">
        <v>244</v>
      </c>
      <c r="F80" s="81">
        <v>45860.0</v>
      </c>
      <c r="G80" s="38">
        <f t="shared" si="10"/>
        <v>45857</v>
      </c>
      <c r="H80" s="39">
        <f t="shared" si="11"/>
        <v>45855</v>
      </c>
      <c r="I80" s="40" t="s">
        <v>245</v>
      </c>
      <c r="J80" s="35" t="s">
        <v>44</v>
      </c>
      <c r="K80" s="97" t="s">
        <v>7</v>
      </c>
      <c r="M80" s="83" t="s">
        <v>203</v>
      </c>
      <c r="T80" s="100">
        <v>45849.0</v>
      </c>
      <c r="U80" s="36" t="s">
        <v>89</v>
      </c>
    </row>
    <row r="81">
      <c r="A81" s="27">
        <f t="shared" si="1"/>
        <v>72</v>
      </c>
      <c r="B81" s="2" t="str">
        <f t="array" ref="B81">XLOOKUP(E81,'GSM T4.2026'!D:D,'GSM T4.2026'!F:F)</f>
        <v>#N/A</v>
      </c>
      <c r="C81" s="28" t="str">
        <f t="array" ref="C81">XLOOKUP(E81,Sheet6!H:H,Sheet6!G:G)</f>
        <v>RVS</v>
      </c>
      <c r="D81" s="29" t="str">
        <f t="array" ref="D81">XLOOKUP(E81,'GSM T4.2026'!D:D,#REF!)</f>
        <v>#N/A</v>
      </c>
      <c r="E81" s="2" t="s">
        <v>246</v>
      </c>
      <c r="F81" s="81">
        <v>45874.0</v>
      </c>
      <c r="G81" s="38">
        <f t="shared" si="10"/>
        <v>45871</v>
      </c>
      <c r="H81" s="39">
        <f t="shared" si="11"/>
        <v>45869</v>
      </c>
      <c r="I81" s="40" t="s">
        <v>247</v>
      </c>
      <c r="J81" s="35" t="s">
        <v>44</v>
      </c>
      <c r="K81" s="101" t="s">
        <v>7</v>
      </c>
      <c r="M81" s="83" t="s">
        <v>203</v>
      </c>
      <c r="T81" s="100">
        <v>45905.0</v>
      </c>
      <c r="U81" s="36" t="s">
        <v>228</v>
      </c>
    </row>
    <row r="82">
      <c r="A82" s="27">
        <f t="shared" si="1"/>
        <v>73</v>
      </c>
      <c r="B82" s="2" t="str">
        <f t="array" ref="B82">XLOOKUP(E82,'GSM T4.2026'!D:D,'GSM T4.2026'!F:F)</f>
        <v>#N/A</v>
      </c>
      <c r="C82" s="28" t="str">
        <f t="array" ref="C82">XLOOKUP(E82,Sheet6!H:H,Sheet6!G:G)</f>
        <v>MZ2</v>
      </c>
      <c r="D82" s="29" t="str">
        <f t="array" ref="D82">XLOOKUP(E82,'GSM T4.2026'!D:D,#REF!)</f>
        <v>#N/A</v>
      </c>
      <c r="E82" s="30" t="s">
        <v>248</v>
      </c>
      <c r="F82" s="31">
        <v>45876.0</v>
      </c>
      <c r="G82" s="32">
        <f t="shared" si="10"/>
        <v>45873</v>
      </c>
      <c r="H82" s="33">
        <f t="shared" si="11"/>
        <v>45871</v>
      </c>
      <c r="I82" s="34" t="s">
        <v>249</v>
      </c>
      <c r="J82" s="35" t="s">
        <v>44</v>
      </c>
      <c r="K82" s="101" t="s">
        <v>7</v>
      </c>
      <c r="T82" s="74" t="s">
        <v>250</v>
      </c>
      <c r="U82" s="36" t="s">
        <v>251</v>
      </c>
    </row>
    <row r="83">
      <c r="A83" s="27">
        <f t="shared" si="1"/>
        <v>74</v>
      </c>
      <c r="B83" s="2" t="str">
        <f t="array" ref="B83">XLOOKUP(E83,'GSM T4.2026'!D:D,'GSM T4.2026'!F:F)</f>
        <v>#N/A</v>
      </c>
      <c r="C83" s="28" t="str">
        <f t="array" ref="C83">XLOOKUP(E83,Sheet6!H:H,Sheet6!G:G)</f>
        <v>GHA</v>
      </c>
      <c r="D83" s="29" t="str">
        <f t="array" ref="D83">XLOOKUP(E83,'GSM T4.2026'!D:D,#REF!)</f>
        <v>#N/A</v>
      </c>
      <c r="E83" s="30" t="s">
        <v>252</v>
      </c>
      <c r="F83" s="31">
        <v>45878.0</v>
      </c>
      <c r="G83" s="32">
        <f t="shared" si="10"/>
        <v>45875</v>
      </c>
      <c r="H83" s="33">
        <f t="shared" si="11"/>
        <v>45873</v>
      </c>
      <c r="I83" s="34" t="s">
        <v>253</v>
      </c>
      <c r="J83" s="35" t="s">
        <v>44</v>
      </c>
      <c r="K83" s="101" t="s">
        <v>7</v>
      </c>
      <c r="T83" s="102">
        <v>45935.0</v>
      </c>
      <c r="U83" s="90" t="s">
        <v>254</v>
      </c>
      <c r="V83" s="77"/>
      <c r="W83" s="77"/>
    </row>
    <row r="84">
      <c r="A84" s="27">
        <f t="shared" si="1"/>
        <v>75</v>
      </c>
      <c r="B84" s="2" t="str">
        <f t="array" ref="B84">XLOOKUP(E84,'GSM T4.2026'!D:D,'GSM T4.2026'!F:F)</f>
        <v>#N/A</v>
      </c>
      <c r="C84" s="28" t="str">
        <f t="array" ref="C84">XLOOKUP(E84,Sheet6!H:H,Sheet6!G:G)</f>
        <v>HHT</v>
      </c>
      <c r="D84" s="29" t="str">
        <f t="array" ref="D84">XLOOKUP(E84,'GSM T4.2026'!D:D,#REF!)</f>
        <v>#N/A</v>
      </c>
      <c r="E84" s="30" t="s">
        <v>255</v>
      </c>
      <c r="F84" s="81">
        <v>45883.0</v>
      </c>
      <c r="G84" s="32">
        <f t="shared" si="10"/>
        <v>45880</v>
      </c>
      <c r="H84" s="33">
        <f t="shared" si="11"/>
        <v>45878</v>
      </c>
      <c r="I84" s="34" t="s">
        <v>256</v>
      </c>
      <c r="J84" s="35" t="s">
        <v>44</v>
      </c>
      <c r="K84" s="101" t="s">
        <v>7</v>
      </c>
      <c r="M84" s="83" t="s">
        <v>203</v>
      </c>
      <c r="T84" s="41">
        <v>45906.0</v>
      </c>
      <c r="U84" s="36" t="s">
        <v>257</v>
      </c>
    </row>
    <row r="85">
      <c r="A85" s="27">
        <f t="shared" si="1"/>
        <v>76</v>
      </c>
      <c r="B85" s="2" t="str">
        <f t="array" ref="B85">XLOOKUP(E85,'GSM T4.2026'!D:D,'GSM T4.2026'!F:F)</f>
        <v>#N/A</v>
      </c>
      <c r="C85" s="28" t="str">
        <f t="array" ref="C85">XLOOKUP(E85,Sheet6!H:H,Sheet6!G:G)</f>
        <v>RS4</v>
      </c>
      <c r="D85" s="29" t="str">
        <f t="array" ref="D85">XLOOKUP(E85,'GSM T4.2026'!D:D,#REF!)</f>
        <v>#N/A</v>
      </c>
      <c r="E85" s="2" t="s">
        <v>258</v>
      </c>
      <c r="F85" s="81">
        <v>45896.0</v>
      </c>
      <c r="G85" s="38">
        <f t="shared" si="10"/>
        <v>45893</v>
      </c>
      <c r="H85" s="39">
        <f t="shared" si="11"/>
        <v>45891</v>
      </c>
      <c r="I85" s="40" t="s">
        <v>259</v>
      </c>
      <c r="J85" s="35" t="s">
        <v>44</v>
      </c>
      <c r="K85" s="101" t="s">
        <v>7</v>
      </c>
      <c r="M85" s="83" t="s">
        <v>203</v>
      </c>
      <c r="N85" s="83" t="s">
        <v>260</v>
      </c>
      <c r="T85" s="41">
        <v>45906.0</v>
      </c>
      <c r="U85" s="36" t="s">
        <v>261</v>
      </c>
    </row>
    <row r="86">
      <c r="A86" s="27">
        <f t="shared" si="1"/>
        <v>77</v>
      </c>
      <c r="B86" s="2" t="str">
        <f t="array" ref="B86">XLOOKUP(E86,'GSM T4.2026'!D:D,'GSM T4.2026'!F:F)</f>
        <v>#N/A</v>
      </c>
      <c r="C86" s="28" t="str">
        <f t="array" ref="C86">XLOOKUP(E86,Sheet6!H:H,Sheet6!G:G)</f>
        <v>BVB</v>
      </c>
      <c r="D86" s="29" t="str">
        <f t="array" ref="D86">XLOOKUP(E86,'GSM T4.2026'!D:D,#REF!)</f>
        <v>#N/A</v>
      </c>
      <c r="E86" s="30" t="s">
        <v>262</v>
      </c>
      <c r="F86" s="81">
        <v>45898.0</v>
      </c>
      <c r="G86" s="32">
        <f t="shared" si="10"/>
        <v>45895</v>
      </c>
      <c r="H86" s="33">
        <f t="shared" si="11"/>
        <v>45893</v>
      </c>
      <c r="I86" s="74" t="s">
        <v>259</v>
      </c>
      <c r="J86" s="35" t="s">
        <v>44</v>
      </c>
      <c r="K86" s="101" t="s">
        <v>7</v>
      </c>
      <c r="M86" s="83" t="s">
        <v>260</v>
      </c>
      <c r="N86" s="36" t="s">
        <v>263</v>
      </c>
      <c r="T86" s="74" t="s">
        <v>264</v>
      </c>
      <c r="U86" s="36" t="s">
        <v>265</v>
      </c>
    </row>
    <row r="87">
      <c r="A87" s="27">
        <f t="shared" si="1"/>
        <v>78</v>
      </c>
      <c r="B87" s="2" t="str">
        <f t="array" ref="B87">XLOOKUP(E87,'GSM T4.2026'!D:D,'GSM T4.2026'!F:F)</f>
        <v>#N/A</v>
      </c>
      <c r="C87" s="28" t="str">
        <f t="array" ref="C87">XLOOKUP(E87,Sheet6!H:H,Sheet6!G:G)</f>
        <v>HHM</v>
      </c>
      <c r="D87" s="29" t="str">
        <f t="array" ref="D87">XLOOKUP(E87,'GSM T4.2026'!D:D,#REF!)</f>
        <v>#N/A</v>
      </c>
      <c r="E87" s="30" t="s">
        <v>266</v>
      </c>
      <c r="F87" s="31">
        <v>45931.0</v>
      </c>
      <c r="G87" s="38">
        <f t="shared" si="10"/>
        <v>45928</v>
      </c>
      <c r="H87" s="33">
        <f t="shared" si="11"/>
        <v>45926</v>
      </c>
      <c r="I87" s="34" t="s">
        <v>267</v>
      </c>
      <c r="J87" s="35" t="s">
        <v>44</v>
      </c>
      <c r="K87" s="103" t="s">
        <v>7</v>
      </c>
      <c r="T87" s="74" t="s">
        <v>268</v>
      </c>
      <c r="U87" s="36" t="s">
        <v>269</v>
      </c>
    </row>
    <row r="88">
      <c r="A88" s="27">
        <f t="shared" si="1"/>
        <v>79</v>
      </c>
      <c r="B88" s="2" t="str">
        <f t="array" ref="B88">XLOOKUP(E88,'GSM T4.2026'!D:D,'GSM T4.2026'!F:F)</f>
        <v>#N/A</v>
      </c>
      <c r="C88" s="28" t="str">
        <f t="array" ref="C88">XLOOKUP(E88,Sheet6!H:H,Sheet6!G:G)</f>
        <v>CKO</v>
      </c>
      <c r="D88" s="29" t="str">
        <f t="array" ref="D88">XLOOKUP(E88,'GSM T4.2026'!D:D,#REF!)</f>
        <v>#N/A</v>
      </c>
      <c r="E88" s="30" t="s">
        <v>270</v>
      </c>
      <c r="F88" s="31">
        <v>45931.0</v>
      </c>
      <c r="G88" s="38">
        <f t="shared" si="10"/>
        <v>45928</v>
      </c>
      <c r="H88" s="33">
        <f t="shared" si="11"/>
        <v>45926</v>
      </c>
      <c r="I88" s="34" t="s">
        <v>267</v>
      </c>
      <c r="J88" s="35" t="s">
        <v>44</v>
      </c>
      <c r="K88" s="103" t="s">
        <v>7</v>
      </c>
      <c r="T88" s="74" t="s">
        <v>268</v>
      </c>
      <c r="U88" s="36" t="s">
        <v>271</v>
      </c>
    </row>
    <row r="89">
      <c r="A89" s="27">
        <f t="shared" si="1"/>
        <v>80</v>
      </c>
      <c r="B89" s="2" t="str">
        <f t="array" ref="B89">XLOOKUP(E89,'GSM T4.2026'!D:D,'GSM T4.2026'!F:F)</f>
        <v>#N/A</v>
      </c>
      <c r="C89" s="28" t="str">
        <f t="array" ref="C89">XLOOKUP(E89,Sheet6!H:H,Sheet6!G:G)</f>
        <v>NDH</v>
      </c>
      <c r="D89" s="29" t="str">
        <f t="array" ref="D89">XLOOKUP(E89,'GSM T4.2026'!D:D,#REF!)</f>
        <v>#N/A</v>
      </c>
      <c r="E89" s="30" t="s">
        <v>272</v>
      </c>
      <c r="F89" s="31">
        <v>45932.0</v>
      </c>
      <c r="G89" s="38">
        <f t="shared" si="10"/>
        <v>45929</v>
      </c>
      <c r="H89" s="33">
        <f t="shared" si="11"/>
        <v>45927</v>
      </c>
      <c r="I89" s="34" t="s">
        <v>273</v>
      </c>
      <c r="J89" s="35" t="s">
        <v>44</v>
      </c>
      <c r="K89" s="103" t="s">
        <v>7</v>
      </c>
      <c r="T89" s="48">
        <v>45788.0</v>
      </c>
      <c r="U89" s="36" t="s">
        <v>89</v>
      </c>
    </row>
    <row r="90">
      <c r="A90" s="27">
        <f t="shared" si="1"/>
        <v>81</v>
      </c>
      <c r="B90" s="2" t="str">
        <f t="array" ref="B90">XLOOKUP(E90,'GSM T4.2026'!D:D,'GSM T4.2026'!F:F)</f>
        <v>#N/A</v>
      </c>
      <c r="C90" s="28" t="str">
        <f t="array" ref="C90">XLOOKUP(E90,Sheet6!H:H,Sheet6!G:G)</f>
        <v>VH4</v>
      </c>
      <c r="D90" s="29" t="str">
        <f t="array" ref="D90">XLOOKUP(E90,'GSM T4.2026'!D:D,#REF!)</f>
        <v>#N/A</v>
      </c>
      <c r="E90" s="104" t="s">
        <v>274</v>
      </c>
      <c r="F90" s="31">
        <v>45943.0</v>
      </c>
      <c r="G90" s="38">
        <f t="shared" si="10"/>
        <v>45940</v>
      </c>
      <c r="H90" s="33">
        <f t="shared" si="11"/>
        <v>45938</v>
      </c>
      <c r="I90" s="34" t="s">
        <v>275</v>
      </c>
      <c r="J90" s="35" t="s">
        <v>44</v>
      </c>
      <c r="K90" s="103" t="s">
        <v>7</v>
      </c>
      <c r="T90" s="41">
        <v>45935.0</v>
      </c>
      <c r="U90" s="36" t="s">
        <v>47</v>
      </c>
    </row>
    <row r="91">
      <c r="A91" s="27">
        <f t="shared" si="1"/>
        <v>82</v>
      </c>
      <c r="B91" s="2" t="str">
        <f t="array" ref="B91">XLOOKUP(E91,'GSM T4.2026'!D:D,'GSM T4.2026'!F:F)</f>
        <v>#N/A</v>
      </c>
      <c r="C91" s="28" t="str">
        <f t="array" ref="C91">XLOOKUP(E91,Sheet6!H:H,Sheet6!G:G)</f>
        <v>DS10</v>
      </c>
      <c r="D91" s="29" t="str">
        <f t="array" ref="D91">XLOOKUP(E91,'GSM T4.2026'!D:D,#REF!)</f>
        <v>#N/A</v>
      </c>
      <c r="E91" s="2" t="s">
        <v>276</v>
      </c>
      <c r="F91" s="81">
        <v>45945.0</v>
      </c>
      <c r="G91" s="61">
        <f t="shared" si="10"/>
        <v>45942</v>
      </c>
      <c r="H91" s="62">
        <f t="shared" si="11"/>
        <v>45940</v>
      </c>
      <c r="I91" s="40" t="s">
        <v>277</v>
      </c>
      <c r="J91" s="35" t="s">
        <v>44</v>
      </c>
      <c r="K91" s="103" t="s">
        <v>7</v>
      </c>
      <c r="M91" s="105" t="s">
        <v>278</v>
      </c>
      <c r="N91" s="36" t="s">
        <v>143</v>
      </c>
      <c r="O91" s="36" t="s">
        <v>279</v>
      </c>
      <c r="P91" s="36" t="s">
        <v>279</v>
      </c>
      <c r="Q91" s="36" t="s">
        <v>280</v>
      </c>
      <c r="R91" s="36" t="s">
        <v>196</v>
      </c>
      <c r="T91" s="41">
        <v>45874.0</v>
      </c>
      <c r="U91" s="36" t="s">
        <v>58</v>
      </c>
    </row>
    <row r="92">
      <c r="A92" s="27">
        <f t="shared" si="1"/>
        <v>83</v>
      </c>
      <c r="B92" s="2" t="str">
        <f t="array" ref="B92">XLOOKUP(E92,'GSM T4.2026'!D:D,'GSM T4.2026'!F:F)</f>
        <v>#N/A</v>
      </c>
      <c r="C92" s="28" t="str">
        <f t="array" ref="C92">XLOOKUP(E92,Sheet6!H:H,Sheet6!G:G)</f>
        <v>CLD</v>
      </c>
      <c r="D92" s="29" t="str">
        <f t="array" ref="D92">XLOOKUP(E92,'GSM T4.2026'!D:D,#REF!)</f>
        <v>#N/A</v>
      </c>
      <c r="E92" s="30" t="s">
        <v>281</v>
      </c>
      <c r="F92" s="81">
        <v>45946.0</v>
      </c>
      <c r="G92" s="32">
        <f t="shared" si="10"/>
        <v>45943</v>
      </c>
      <c r="H92" s="33">
        <f t="shared" si="11"/>
        <v>45941</v>
      </c>
      <c r="I92" s="34" t="s">
        <v>282</v>
      </c>
      <c r="J92" s="35" t="s">
        <v>44</v>
      </c>
      <c r="K92" s="103" t="s">
        <v>7</v>
      </c>
      <c r="M92" s="51" t="s">
        <v>71</v>
      </c>
      <c r="N92" s="36" t="s">
        <v>283</v>
      </c>
      <c r="T92" s="34" t="s">
        <v>284</v>
      </c>
      <c r="U92" s="46">
        <v>45908.0</v>
      </c>
    </row>
    <row r="93">
      <c r="A93" s="27">
        <f t="shared" si="1"/>
        <v>84</v>
      </c>
      <c r="B93" s="2" t="str">
        <f t="array" ref="B93">XLOOKUP(E93,'GSM T4.2026'!D:D,'GSM T4.2026'!F:F)</f>
        <v>#N/A</v>
      </c>
      <c r="C93" s="28" t="str">
        <f t="array" ref="C93">XLOOKUP(E93,Sheet6!H:H,Sheet6!G:G)</f>
        <v>VH6</v>
      </c>
      <c r="D93" s="29" t="str">
        <f t="array" ref="D93">XLOOKUP(E93,'GSM T4.2026'!D:D,#REF!)</f>
        <v>#N/A</v>
      </c>
      <c r="E93" s="96" t="s">
        <v>285</v>
      </c>
      <c r="F93" s="60">
        <v>45946.0</v>
      </c>
      <c r="G93" s="61">
        <f t="shared" si="10"/>
        <v>45943</v>
      </c>
      <c r="H93" s="62">
        <f t="shared" si="11"/>
        <v>45941</v>
      </c>
      <c r="I93" s="40" t="s">
        <v>286</v>
      </c>
      <c r="J93" s="35" t="s">
        <v>44</v>
      </c>
      <c r="K93" s="103" t="s">
        <v>7</v>
      </c>
      <c r="M93" s="51" t="s">
        <v>71</v>
      </c>
      <c r="T93" s="34" t="s">
        <v>284</v>
      </c>
      <c r="U93" s="46">
        <v>45908.0</v>
      </c>
    </row>
    <row r="94">
      <c r="A94" s="27">
        <f t="shared" si="1"/>
        <v>85</v>
      </c>
      <c r="B94" s="2" t="str">
        <f t="array" ref="B94">XLOOKUP(E94,'GSM T4.2026'!D:D,'GSM T4.2026'!F:F)</f>
        <v>#N/A</v>
      </c>
      <c r="C94" s="28" t="str">
        <f t="array" ref="C94">XLOOKUP(E94,Sheet6!H:H,Sheet6!G:G)</f>
        <v>A101</v>
      </c>
      <c r="D94" s="29" t="str">
        <f t="array" ref="D94">XLOOKUP(E94,'GSM T4.2026'!D:D,#REF!)</f>
        <v>#N/A</v>
      </c>
      <c r="E94" s="96" t="s">
        <v>287</v>
      </c>
      <c r="F94" s="60">
        <v>45946.0</v>
      </c>
      <c r="G94" s="61">
        <f t="shared" si="10"/>
        <v>45943</v>
      </c>
      <c r="H94" s="62">
        <f t="shared" si="11"/>
        <v>45941</v>
      </c>
      <c r="I94" s="40" t="s">
        <v>286</v>
      </c>
      <c r="J94" s="35" t="s">
        <v>44</v>
      </c>
      <c r="K94" s="103" t="s">
        <v>7</v>
      </c>
      <c r="M94" s="51" t="s">
        <v>71</v>
      </c>
      <c r="T94" s="106">
        <v>45696.0</v>
      </c>
      <c r="U94" s="46">
        <v>45938.0</v>
      </c>
    </row>
    <row r="95">
      <c r="A95" s="27">
        <f t="shared" si="1"/>
        <v>86</v>
      </c>
      <c r="B95" s="2" t="str">
        <f t="array" ref="B95">XLOOKUP(E95,'GSM T4.2026'!D:D,'GSM T4.2026'!F:F)</f>
        <v>#N/A</v>
      </c>
      <c r="C95" s="28" t="str">
        <f t="array" ref="C95">XLOOKUP(E95,Sheet6!H:H,Sheet6!G:G)</f>
        <v>NVK</v>
      </c>
      <c r="D95" s="29" t="str">
        <f t="array" ref="D95">XLOOKUP(E95,'GSM T4.2026'!D:D,#REF!)</f>
        <v>#N/A</v>
      </c>
      <c r="E95" s="2" t="s">
        <v>288</v>
      </c>
      <c r="F95" s="37">
        <v>45950.0</v>
      </c>
      <c r="G95" s="38">
        <f t="shared" si="10"/>
        <v>45947</v>
      </c>
      <c r="H95" s="39">
        <f t="shared" si="11"/>
        <v>45945</v>
      </c>
      <c r="I95" s="40" t="s">
        <v>289</v>
      </c>
      <c r="J95" s="35" t="s">
        <v>44</v>
      </c>
      <c r="K95" s="103" t="s">
        <v>7</v>
      </c>
      <c r="T95" s="106">
        <v>45696.0</v>
      </c>
      <c r="U95" s="46">
        <v>45938.0</v>
      </c>
    </row>
    <row r="96">
      <c r="A96" s="27">
        <f t="shared" si="1"/>
        <v>87</v>
      </c>
      <c r="B96" s="2" t="str">
        <f t="array" ref="B96">XLOOKUP(E96,'GSM T4.2026'!D:D,'GSM T4.2026'!F:F)</f>
        <v>#N/A</v>
      </c>
      <c r="C96" s="28" t="str">
        <f t="array" ref="C96">XLOOKUP(E96,Sheet6!H:H,Sheet6!G:G)</f>
        <v>A104</v>
      </c>
      <c r="D96" s="29" t="str">
        <f t="array" ref="D96">XLOOKUP(E96,'GSM T4.2026'!D:D,#REF!)</f>
        <v>#N/A</v>
      </c>
      <c r="E96" s="52" t="s">
        <v>290</v>
      </c>
      <c r="F96" s="60">
        <v>45950.0</v>
      </c>
      <c r="G96" s="61">
        <f t="shared" si="10"/>
        <v>45947</v>
      </c>
      <c r="H96" s="62">
        <f t="shared" si="11"/>
        <v>45945</v>
      </c>
      <c r="I96" s="40" t="s">
        <v>291</v>
      </c>
      <c r="J96" s="35" t="s">
        <v>44</v>
      </c>
      <c r="K96" s="103" t="s">
        <v>7</v>
      </c>
      <c r="M96" s="51" t="s">
        <v>71</v>
      </c>
      <c r="T96" s="106">
        <v>45755.0</v>
      </c>
      <c r="U96" s="46">
        <v>45999.0</v>
      </c>
    </row>
    <row r="97">
      <c r="A97" s="27">
        <f t="shared" si="1"/>
        <v>88</v>
      </c>
      <c r="B97" s="2" t="str">
        <f t="array" ref="B97">XLOOKUP(E97,'GSM T4.2026'!D:D,'GSM T4.2026'!F:F)</f>
        <v>#N/A</v>
      </c>
      <c r="C97" s="59" t="s">
        <v>292</v>
      </c>
      <c r="D97" s="29" t="str">
        <f t="array" ref="D97">XLOOKUP(E97,'GSM T4.2026'!D:D,#REF!)</f>
        <v>#N/A</v>
      </c>
      <c r="E97" s="52" t="s">
        <v>293</v>
      </c>
      <c r="F97" s="60">
        <v>45951.0</v>
      </c>
      <c r="G97" s="61">
        <f t="shared" si="10"/>
        <v>45948</v>
      </c>
      <c r="H97" s="62">
        <f t="shared" si="11"/>
        <v>45946</v>
      </c>
      <c r="I97" s="40" t="s">
        <v>294</v>
      </c>
      <c r="J97" s="35" t="s">
        <v>44</v>
      </c>
      <c r="K97" s="103" t="s">
        <v>7</v>
      </c>
      <c r="M97" s="51" t="s">
        <v>71</v>
      </c>
      <c r="T97" s="40" t="s">
        <v>171</v>
      </c>
      <c r="U97" s="36" t="s">
        <v>172</v>
      </c>
    </row>
    <row r="98">
      <c r="A98" s="27">
        <f t="shared" si="1"/>
        <v>89</v>
      </c>
      <c r="B98" s="2" t="str">
        <f t="array" ref="B98">XLOOKUP(E98,'GSM T4.2026'!D:D,'GSM T4.2026'!F:F)</f>
        <v>#N/A</v>
      </c>
      <c r="C98" s="28" t="str">
        <f t="array" ref="C98">XLOOKUP(E98,Sheet6!H:H,Sheet6!G:G)</f>
        <v>Q50</v>
      </c>
      <c r="D98" s="29" t="str">
        <f t="array" ref="D98">XLOOKUP(E98,'GSM T4.2026'!D:D,#REF!)</f>
        <v>#N/A</v>
      </c>
      <c r="E98" s="2" t="s">
        <v>295</v>
      </c>
      <c r="F98" s="73">
        <v>45952.0</v>
      </c>
      <c r="G98" s="38">
        <f t="shared" si="10"/>
        <v>45949</v>
      </c>
      <c r="H98" s="39">
        <f t="shared" si="11"/>
        <v>45947</v>
      </c>
      <c r="I98" s="40" t="s">
        <v>296</v>
      </c>
      <c r="J98" s="35" t="s">
        <v>44</v>
      </c>
      <c r="K98" s="103" t="s">
        <v>7</v>
      </c>
      <c r="T98" s="48">
        <v>45666.0</v>
      </c>
      <c r="U98" s="46">
        <v>45909.0</v>
      </c>
    </row>
    <row r="99">
      <c r="A99" s="27">
        <f t="shared" si="1"/>
        <v>90</v>
      </c>
      <c r="B99" s="2" t="str">
        <f t="array" ref="B99">XLOOKUP(E99,'GSM T4.2026'!D:D,'GSM T4.2026'!F:F)</f>
        <v>#N/A</v>
      </c>
      <c r="C99" s="28" t="str">
        <f t="array" ref="C99">XLOOKUP(E99,Sheet6!H:H,Sheet6!G:G)</f>
        <v>A105</v>
      </c>
      <c r="D99" s="29" t="str">
        <f t="array" ref="D99">XLOOKUP(E99,'GSM T4.2026'!D:D,#REF!)</f>
        <v>#N/A</v>
      </c>
      <c r="E99" s="52" t="s">
        <v>297</v>
      </c>
      <c r="F99" s="60">
        <v>45952.0</v>
      </c>
      <c r="G99" s="61">
        <f t="shared" si="10"/>
        <v>45949</v>
      </c>
      <c r="H99" s="62">
        <f t="shared" si="11"/>
        <v>45947</v>
      </c>
      <c r="I99" s="40" t="s">
        <v>298</v>
      </c>
      <c r="J99" s="35" t="s">
        <v>44</v>
      </c>
      <c r="K99" s="103" t="s">
        <v>7</v>
      </c>
      <c r="M99" s="51" t="s">
        <v>71</v>
      </c>
      <c r="T99" s="48">
        <v>45666.0</v>
      </c>
      <c r="U99" s="46">
        <v>45939.0</v>
      </c>
    </row>
    <row r="100">
      <c r="A100" s="27">
        <f t="shared" si="1"/>
        <v>91</v>
      </c>
      <c r="B100" s="2" t="str">
        <f t="array" ref="B100">XLOOKUP(E100,'GSM T4.2026'!D:D,'GSM T4.2026'!F:F)</f>
        <v>#N/A</v>
      </c>
      <c r="C100" s="28" t="str">
        <f t="array" ref="C100">XLOOKUP(E100,Sheet6!H:H,Sheet6!G:G)</f>
        <v>A107</v>
      </c>
      <c r="D100" s="29" t="str">
        <f t="array" ref="D100">XLOOKUP(E100,'GSM T4.2026'!D:D,#REF!)</f>
        <v>#N/A</v>
      </c>
      <c r="E100" s="52" t="s">
        <v>299</v>
      </c>
      <c r="F100" s="60">
        <v>45952.0</v>
      </c>
      <c r="G100" s="61">
        <f t="shared" si="10"/>
        <v>45949</v>
      </c>
      <c r="H100" s="62">
        <f t="shared" si="11"/>
        <v>45947</v>
      </c>
      <c r="I100" s="40" t="s">
        <v>298</v>
      </c>
      <c r="J100" s="35" t="s">
        <v>44</v>
      </c>
      <c r="K100" s="103" t="s">
        <v>7</v>
      </c>
      <c r="M100" s="51" t="s">
        <v>71</v>
      </c>
      <c r="T100" s="106">
        <v>45666.0</v>
      </c>
      <c r="U100" s="46">
        <v>45970.0</v>
      </c>
    </row>
    <row r="101">
      <c r="A101" s="27">
        <f t="shared" si="1"/>
        <v>92</v>
      </c>
      <c r="B101" s="2" t="str">
        <f t="array" ref="B101">XLOOKUP(E101,'GSM T4.2026'!D:D,'GSM T4.2026'!F:F)</f>
        <v>#N/A</v>
      </c>
      <c r="C101" s="28" t="str">
        <f t="array" ref="C101">XLOOKUP(E101,Sheet6!H:H,Sheet6!G:G)</f>
        <v>LVY</v>
      </c>
      <c r="D101" s="29" t="str">
        <f t="array" ref="D101">XLOOKUP(E101,'GSM T4.2026'!D:D,#REF!)</f>
        <v>#N/A</v>
      </c>
      <c r="E101" s="52" t="s">
        <v>300</v>
      </c>
      <c r="F101" s="81">
        <v>45953.0</v>
      </c>
      <c r="G101" s="38">
        <f t="shared" si="10"/>
        <v>45950</v>
      </c>
      <c r="H101" s="39">
        <f t="shared" si="11"/>
        <v>45948</v>
      </c>
      <c r="I101" s="99" t="s">
        <v>301</v>
      </c>
      <c r="J101" s="35" t="s">
        <v>44</v>
      </c>
      <c r="K101" s="103" t="s">
        <v>7</v>
      </c>
      <c r="M101" s="83" t="s">
        <v>203</v>
      </c>
      <c r="N101" s="36" t="s">
        <v>302</v>
      </c>
      <c r="T101" s="106">
        <v>45878.0</v>
      </c>
      <c r="U101" s="36" t="s">
        <v>303</v>
      </c>
    </row>
    <row r="102" ht="14.25" customHeight="1">
      <c r="A102" s="27">
        <f t="shared" si="1"/>
        <v>93</v>
      </c>
      <c r="B102" s="2" t="str">
        <f t="array" ref="B102">XLOOKUP(E102,'GSM T4.2026'!D:D,'GSM T4.2026'!F:F)</f>
        <v>#N/A</v>
      </c>
      <c r="C102" s="28" t="str">
        <f t="array" ref="C102">XLOOKUP(E102,Sheet6!H:H,Sheet6!G:G)</f>
        <v>A100</v>
      </c>
      <c r="D102" s="29" t="str">
        <f t="array" ref="D102">XLOOKUP(E102,'GSM T4.2026'!D:D,#REF!)</f>
        <v>#N/A</v>
      </c>
      <c r="E102" s="96" t="s">
        <v>304</v>
      </c>
      <c r="F102" s="60">
        <v>45953.0</v>
      </c>
      <c r="G102" s="61">
        <f t="shared" si="10"/>
        <v>45950</v>
      </c>
      <c r="H102" s="62">
        <f t="shared" si="11"/>
        <v>45948</v>
      </c>
      <c r="I102" s="40" t="s">
        <v>305</v>
      </c>
      <c r="J102" s="35" t="s">
        <v>44</v>
      </c>
      <c r="K102" s="103" t="s">
        <v>7</v>
      </c>
      <c r="M102" s="51" t="s">
        <v>71</v>
      </c>
      <c r="T102" s="106">
        <v>45878.0</v>
      </c>
      <c r="U102" s="36" t="s">
        <v>303</v>
      </c>
    </row>
    <row r="103">
      <c r="A103" s="27">
        <f t="shared" si="1"/>
        <v>94</v>
      </c>
      <c r="B103" s="2"/>
      <c r="C103" s="28" t="str">
        <f t="array" ref="C103">XLOOKUP(E103,Sheet6!H:H,Sheet6!G:G)</f>
        <v>D67</v>
      </c>
      <c r="D103" s="29"/>
      <c r="E103" s="30" t="s">
        <v>306</v>
      </c>
      <c r="F103" s="60">
        <v>45957.0</v>
      </c>
      <c r="G103" s="32">
        <f t="shared" si="10"/>
        <v>45954</v>
      </c>
      <c r="H103" s="33">
        <f t="shared" si="11"/>
        <v>45952</v>
      </c>
      <c r="I103" s="34" t="s">
        <v>307</v>
      </c>
      <c r="J103" s="107" t="s">
        <v>44</v>
      </c>
      <c r="K103" s="108" t="s">
        <v>308</v>
      </c>
      <c r="M103" s="109"/>
      <c r="T103" s="41">
        <v>45935.0</v>
      </c>
      <c r="U103" s="36" t="s">
        <v>55</v>
      </c>
    </row>
    <row r="104">
      <c r="A104" s="27">
        <f t="shared" si="1"/>
        <v>95</v>
      </c>
      <c r="B104" s="2" t="str">
        <f t="array" ref="B104">XLOOKUP(E104,'GSM T4.2026'!D:D,'GSM T4.2026'!F:F)</f>
        <v>#N/A</v>
      </c>
      <c r="C104" s="28" t="str">
        <f t="array" ref="C104">XLOOKUP(E104,Sheet6!H:H,Sheet6!G:G)</f>
        <v>BTH</v>
      </c>
      <c r="D104" s="29" t="str">
        <f t="array" ref="D104">XLOOKUP(E104,'GSM T4.2026'!D:D,#REF!)</f>
        <v>#N/A</v>
      </c>
      <c r="E104" s="30" t="s">
        <v>309</v>
      </c>
      <c r="F104" s="60">
        <v>45957.0</v>
      </c>
      <c r="G104" s="32">
        <f t="shared" si="10"/>
        <v>45954</v>
      </c>
      <c r="H104" s="33">
        <f t="shared" si="11"/>
        <v>45952</v>
      </c>
      <c r="I104" s="34" t="s">
        <v>307</v>
      </c>
      <c r="J104" s="35" t="s">
        <v>44</v>
      </c>
      <c r="K104" s="103" t="s">
        <v>7</v>
      </c>
      <c r="T104" s="106">
        <v>45878.0</v>
      </c>
      <c r="U104" s="36" t="s">
        <v>310</v>
      </c>
    </row>
    <row r="105">
      <c r="A105" s="27">
        <f t="shared" si="1"/>
        <v>96</v>
      </c>
      <c r="B105" s="2" t="str">
        <f t="array" ref="B105">XLOOKUP(E105,'GSM T4.2026'!D:D,'GSM T4.2026'!F:F)</f>
        <v>#N/A</v>
      </c>
      <c r="C105" s="28" t="str">
        <f t="array" ref="C105">XLOOKUP(E105,Sheet6!H:H,Sheet6!G:G)</f>
        <v>PHG</v>
      </c>
      <c r="D105" s="29" t="str">
        <f t="array" ref="D105">XLOOKUP(E105,'GSM T4.2026'!D:D,#REF!)</f>
        <v>#N/A</v>
      </c>
      <c r="E105" s="2" t="s">
        <v>311</v>
      </c>
      <c r="F105" s="60">
        <v>45960.0</v>
      </c>
      <c r="G105" s="38">
        <f t="shared" si="10"/>
        <v>45957</v>
      </c>
      <c r="H105" s="39">
        <f t="shared" si="11"/>
        <v>45955</v>
      </c>
      <c r="I105" s="40" t="s">
        <v>312</v>
      </c>
      <c r="J105" s="35" t="s">
        <v>44</v>
      </c>
      <c r="K105" s="103" t="s">
        <v>7</v>
      </c>
      <c r="M105" s="105" t="s">
        <v>313</v>
      </c>
      <c r="N105" s="36" t="s">
        <v>135</v>
      </c>
      <c r="O105" s="36" t="s">
        <v>135</v>
      </c>
      <c r="P105" s="36" t="s">
        <v>135</v>
      </c>
      <c r="Q105" s="36" t="s">
        <v>132</v>
      </c>
      <c r="R105" s="36" t="s">
        <v>135</v>
      </c>
      <c r="S105" s="36"/>
      <c r="T105" s="106">
        <v>45877.0</v>
      </c>
      <c r="U105" s="36" t="s">
        <v>314</v>
      </c>
    </row>
    <row r="106">
      <c r="A106" s="27">
        <f t="shared" si="1"/>
        <v>97</v>
      </c>
      <c r="B106" s="2" t="str">
        <f t="array" ref="B106">XLOOKUP(E106,'GSM T4.2026'!D:D,'GSM T4.2026'!F:F)</f>
        <v>#N/A</v>
      </c>
      <c r="C106" s="28" t="str">
        <f t="array" ref="C106">XLOOKUP(E106,Sheet6!H:H,Sheet6!G:G)</f>
        <v>HMN</v>
      </c>
      <c r="D106" s="29" t="str">
        <f t="array" ref="D106">XLOOKUP(E106,'GSM T4.2026'!D:D,#REF!)</f>
        <v>#N/A</v>
      </c>
      <c r="E106" s="2" t="s">
        <v>315</v>
      </c>
      <c r="F106" s="69">
        <v>45965.0</v>
      </c>
      <c r="G106" s="38">
        <f t="shared" si="10"/>
        <v>45962</v>
      </c>
      <c r="H106" s="39">
        <f t="shared" si="11"/>
        <v>45960</v>
      </c>
      <c r="I106" s="70" t="s">
        <v>316</v>
      </c>
      <c r="J106" s="35" t="s">
        <v>44</v>
      </c>
      <c r="K106" s="110" t="s">
        <v>7</v>
      </c>
      <c r="L106" s="46">
        <v>45758.0</v>
      </c>
      <c r="M106" s="47" t="s">
        <v>61</v>
      </c>
      <c r="T106" s="40" t="s">
        <v>317</v>
      </c>
      <c r="U106" s="36" t="s">
        <v>318</v>
      </c>
    </row>
    <row r="107">
      <c r="A107" s="27">
        <f t="shared" si="1"/>
        <v>98</v>
      </c>
      <c r="B107" s="2" t="str">
        <f t="array" ref="B107">XLOOKUP(E107,'GSM T4.2026'!D:D,'GSM T4.2026'!F:F)</f>
        <v>#N/A</v>
      </c>
      <c r="C107" s="28" t="str">
        <f t="array" ref="C107">XLOOKUP(E107,Sheet6!H:H,Sheet6!G:G)</f>
        <v>VGP</v>
      </c>
      <c r="D107" s="29" t="str">
        <f t="array" ref="D107">XLOOKUP(E107,'GSM T4.2026'!D:D,#REF!)</f>
        <v>#N/A</v>
      </c>
      <c r="E107" s="30" t="s">
        <v>319</v>
      </c>
      <c r="F107" s="69">
        <v>45965.0</v>
      </c>
      <c r="G107" s="32">
        <f t="shared" si="10"/>
        <v>45962</v>
      </c>
      <c r="H107" s="33">
        <f t="shared" si="11"/>
        <v>45960</v>
      </c>
      <c r="I107" s="70" t="s">
        <v>320</v>
      </c>
      <c r="J107" s="35" t="s">
        <v>44</v>
      </c>
      <c r="K107" s="110" t="s">
        <v>7</v>
      </c>
      <c r="L107" s="46">
        <v>45758.0</v>
      </c>
      <c r="M107" s="47" t="s">
        <v>61</v>
      </c>
      <c r="N107" s="83" t="s">
        <v>203</v>
      </c>
      <c r="T107" s="34" t="s">
        <v>321</v>
      </c>
      <c r="U107" s="46">
        <v>45698.0</v>
      </c>
    </row>
    <row r="108">
      <c r="A108" s="27">
        <f t="shared" si="1"/>
        <v>99</v>
      </c>
      <c r="B108" s="2" t="str">
        <f t="array" ref="B108">XLOOKUP(E108,'GSM T4.2026'!D:D,'GSM T4.2026'!F:F)</f>
        <v>#N/A</v>
      </c>
      <c r="C108" s="28" t="str">
        <f t="array" ref="C108">XLOOKUP(E108,Sheet6!H:H,Sheet6!G:G)</f>
        <v>NVD</v>
      </c>
      <c r="D108" s="29" t="str">
        <f t="array" ref="D108">XLOOKUP(E108,'GSM T4.2026'!D:D,#REF!)</f>
        <v>#N/A</v>
      </c>
      <c r="E108" s="2" t="s">
        <v>322</v>
      </c>
      <c r="F108" s="69">
        <v>45966.0</v>
      </c>
      <c r="G108" s="38">
        <f t="shared" si="10"/>
        <v>45963</v>
      </c>
      <c r="H108" s="39">
        <f t="shared" si="11"/>
        <v>45961</v>
      </c>
      <c r="I108" s="70" t="s">
        <v>323</v>
      </c>
      <c r="J108" s="35" t="s">
        <v>44</v>
      </c>
      <c r="K108" s="110" t="s">
        <v>7</v>
      </c>
      <c r="L108" s="46">
        <v>45788.0</v>
      </c>
      <c r="M108" s="47" t="s">
        <v>61</v>
      </c>
      <c r="T108" s="34" t="s">
        <v>321</v>
      </c>
      <c r="U108" s="46">
        <v>45757.0</v>
      </c>
    </row>
    <row r="109">
      <c r="A109" s="27">
        <f t="shared" si="1"/>
        <v>100</v>
      </c>
      <c r="B109" s="2" t="str">
        <f t="array" ref="B109">XLOOKUP(E109,'GSM T4.2026'!D:D,'GSM T4.2026'!F:F)</f>
        <v>#N/A</v>
      </c>
      <c r="C109" s="28" t="str">
        <f t="array" ref="C109">XLOOKUP(E109,Sheet6!H:H,Sheet6!G:G)</f>
        <v>KHI</v>
      </c>
      <c r="D109" s="29" t="str">
        <f t="array" ref="D109">XLOOKUP(E109,'GSM T4.2026'!D:D,#REF!)</f>
        <v>#N/A</v>
      </c>
      <c r="E109" s="30" t="s">
        <v>324</v>
      </c>
      <c r="F109" s="69">
        <v>45966.0</v>
      </c>
      <c r="G109" s="32">
        <f t="shared" si="10"/>
        <v>45963</v>
      </c>
      <c r="H109" s="33">
        <f t="shared" si="11"/>
        <v>45961</v>
      </c>
      <c r="I109" s="70" t="s">
        <v>325</v>
      </c>
      <c r="J109" s="35" t="s">
        <v>44</v>
      </c>
      <c r="K109" s="110" t="s">
        <v>7</v>
      </c>
      <c r="L109" s="46">
        <v>45788.0</v>
      </c>
      <c r="M109" s="47" t="s">
        <v>61</v>
      </c>
      <c r="T109" s="34" t="s">
        <v>321</v>
      </c>
      <c r="U109" s="46">
        <v>45757.0</v>
      </c>
    </row>
    <row r="110">
      <c r="A110" s="27">
        <f t="shared" si="1"/>
        <v>101</v>
      </c>
      <c r="B110" s="2" t="str">
        <f t="array" ref="B110">XLOOKUP(E110,'GSM T4.2026'!D:D,'GSM T4.2026'!F:F)</f>
        <v>#N/A</v>
      </c>
      <c r="C110" s="28" t="str">
        <f t="array" ref="C110">XLOOKUP(E110,Sheet6!H:H,Sheet6!G:G)</f>
        <v>LVN</v>
      </c>
      <c r="D110" s="29" t="str">
        <f t="array" ref="D110">XLOOKUP(E110,'GSM T4.2026'!D:D,#REF!)</f>
        <v>#N/A</v>
      </c>
      <c r="E110" s="30" t="s">
        <v>326</v>
      </c>
      <c r="F110" s="69">
        <v>45966.0</v>
      </c>
      <c r="G110" s="32">
        <f t="shared" si="10"/>
        <v>45963</v>
      </c>
      <c r="H110" s="33">
        <f t="shared" si="11"/>
        <v>45961</v>
      </c>
      <c r="I110" s="70" t="s">
        <v>325</v>
      </c>
      <c r="J110" s="35" t="s">
        <v>44</v>
      </c>
      <c r="K110" s="110" t="s">
        <v>7</v>
      </c>
      <c r="L110" s="46">
        <v>45788.0</v>
      </c>
      <c r="M110" s="47" t="s">
        <v>61</v>
      </c>
      <c r="T110" s="74" t="s">
        <v>58</v>
      </c>
      <c r="U110" s="36" t="s">
        <v>47</v>
      </c>
    </row>
    <row r="111">
      <c r="A111" s="27">
        <f t="shared" si="1"/>
        <v>102</v>
      </c>
      <c r="B111" s="2" t="str">
        <f t="array" ref="B111">XLOOKUP(E111,'GSM T4.2026'!D:D,'GSM T4.2026'!F:F)</f>
        <v>#N/A</v>
      </c>
      <c r="C111" s="28" t="str">
        <f t="array" ref="C111">XLOOKUP(E111,Sheet6!H:H,Sheet6!G:G)</f>
        <v>VH2</v>
      </c>
      <c r="D111" s="29" t="str">
        <f t="array" ref="D111">XLOOKUP(E111,'GSM T4.2026'!D:D,#REF!)</f>
        <v>#N/A</v>
      </c>
      <c r="E111" s="30" t="s">
        <v>327</v>
      </c>
      <c r="F111" s="69">
        <v>45966.0</v>
      </c>
      <c r="G111" s="32">
        <f t="shared" si="10"/>
        <v>45963</v>
      </c>
      <c r="H111" s="33">
        <f t="shared" si="11"/>
        <v>45961</v>
      </c>
      <c r="I111" s="70" t="s">
        <v>325</v>
      </c>
      <c r="J111" s="35" t="s">
        <v>44</v>
      </c>
      <c r="K111" s="110" t="s">
        <v>7</v>
      </c>
      <c r="L111" s="46">
        <v>45788.0</v>
      </c>
      <c r="M111" s="47" t="s">
        <v>61</v>
      </c>
      <c r="T111" s="34" t="s">
        <v>321</v>
      </c>
      <c r="U111" s="46">
        <v>45787.0</v>
      </c>
    </row>
    <row r="112">
      <c r="A112" s="27">
        <f t="shared" si="1"/>
        <v>103</v>
      </c>
      <c r="B112" s="2" t="str">
        <f t="array" ref="B112">XLOOKUP(E112,'GSM T4.2026'!D:D,'GSM T4.2026'!F:F)</f>
        <v>#N/A</v>
      </c>
      <c r="C112" s="28" t="str">
        <f t="array" ref="C112">XLOOKUP(E112,Sheet6!H:H,Sheet6!G:G)</f>
        <v>DQH</v>
      </c>
      <c r="D112" s="29" t="str">
        <f t="array" ref="D112">XLOOKUP(E112,'GSM T4.2026'!D:D,#REF!)</f>
        <v>#N/A</v>
      </c>
      <c r="E112" s="2" t="s">
        <v>328</v>
      </c>
      <c r="F112" s="69">
        <v>45966.0</v>
      </c>
      <c r="G112" s="38">
        <f t="shared" si="10"/>
        <v>45963</v>
      </c>
      <c r="H112" s="39">
        <f t="shared" si="11"/>
        <v>45961</v>
      </c>
      <c r="I112" s="70" t="s">
        <v>316</v>
      </c>
      <c r="J112" s="35" t="s">
        <v>44</v>
      </c>
      <c r="K112" s="110" t="s">
        <v>7</v>
      </c>
      <c r="L112" s="46">
        <v>45788.0</v>
      </c>
      <c r="M112" s="47" t="s">
        <v>61</v>
      </c>
      <c r="T112" s="34" t="s">
        <v>329</v>
      </c>
      <c r="U112" s="36" t="s">
        <v>265</v>
      </c>
    </row>
    <row r="113">
      <c r="A113" s="27">
        <f t="shared" si="1"/>
        <v>104</v>
      </c>
      <c r="B113" s="2" t="str">
        <f t="array" ref="B113">XLOOKUP(E113,'GSM T4.2026'!D:D,'GSM T4.2026'!F:F)</f>
        <v>#N/A</v>
      </c>
      <c r="C113" s="28" t="str">
        <f t="array" ref="C113">XLOOKUP(E113,Sheet6!H:H,Sheet6!G:G)</f>
        <v>HLR</v>
      </c>
      <c r="D113" s="29" t="str">
        <f t="array" ref="D113">XLOOKUP(E113,'GSM T4.2026'!D:D,#REF!)</f>
        <v>#N/A</v>
      </c>
      <c r="E113" s="2" t="s">
        <v>330</v>
      </c>
      <c r="F113" s="73">
        <v>45966.0</v>
      </c>
      <c r="G113" s="38">
        <f t="shared" si="10"/>
        <v>45963</v>
      </c>
      <c r="H113" s="39">
        <f t="shared" si="11"/>
        <v>45961</v>
      </c>
      <c r="I113" s="40" t="s">
        <v>331</v>
      </c>
      <c r="J113" s="35" t="s">
        <v>44</v>
      </c>
      <c r="K113" s="110" t="s">
        <v>7</v>
      </c>
      <c r="L113" s="46">
        <v>45788.0</v>
      </c>
      <c r="T113" s="40" t="s">
        <v>284</v>
      </c>
      <c r="U113" s="46">
        <v>45785.0</v>
      </c>
    </row>
    <row r="114">
      <c r="A114" s="27">
        <f t="shared" si="1"/>
        <v>105</v>
      </c>
      <c r="B114" s="2" t="str">
        <f t="array" ref="B114">XLOOKUP(E114,'GSM T4.2026'!D:D,'GSM T4.2026'!F:F)</f>
        <v>#N/A</v>
      </c>
      <c r="C114" s="111" t="str">
        <f t="array" ref="C114">XLOOKUP(E114,Sheet6!H:H,Sheet6!G:G)</f>
        <v>THD</v>
      </c>
      <c r="D114" s="29" t="str">
        <f t="array" ref="D114">XLOOKUP(E114,'GSM T4.2026'!D:D,#REF!)</f>
        <v>#N/A</v>
      </c>
      <c r="E114" s="2" t="s">
        <v>332</v>
      </c>
      <c r="F114" s="69">
        <v>45967.0</v>
      </c>
      <c r="G114" s="38">
        <f t="shared" si="10"/>
        <v>45964</v>
      </c>
      <c r="H114" s="39">
        <f t="shared" si="11"/>
        <v>45962</v>
      </c>
      <c r="I114" s="70" t="s">
        <v>333</v>
      </c>
      <c r="J114" s="35" t="s">
        <v>44</v>
      </c>
      <c r="K114" s="110" t="s">
        <v>7</v>
      </c>
      <c r="L114" s="46">
        <v>45788.0</v>
      </c>
      <c r="M114" s="47" t="s">
        <v>61</v>
      </c>
      <c r="T114" s="40" t="s">
        <v>334</v>
      </c>
      <c r="U114" s="112">
        <v>45940.0</v>
      </c>
    </row>
    <row r="115">
      <c r="A115" s="27">
        <f t="shared" si="1"/>
        <v>106</v>
      </c>
      <c r="B115" s="2" t="str">
        <f t="array" ref="B115">XLOOKUP(E115,'GSM T4.2026'!D:D,'GSM T4.2026'!F:F)</f>
        <v>#N/A</v>
      </c>
      <c r="C115" s="28" t="str">
        <f t="array" ref="C115">XLOOKUP(E115,Sheet6!H:H,Sheet6!G:G)</f>
        <v>HTP</v>
      </c>
      <c r="D115" s="29" t="str">
        <f t="array" ref="D115">XLOOKUP(E115,'GSM T4.2026'!D:D,#REF!)</f>
        <v>#N/A</v>
      </c>
      <c r="E115" s="54" t="s">
        <v>335</v>
      </c>
      <c r="F115" s="69">
        <v>45967.0</v>
      </c>
      <c r="G115" s="32">
        <f t="shared" si="10"/>
        <v>45964</v>
      </c>
      <c r="H115" s="33">
        <f t="shared" si="11"/>
        <v>45962</v>
      </c>
      <c r="I115" s="70" t="s">
        <v>336</v>
      </c>
      <c r="J115" s="35" t="s">
        <v>44</v>
      </c>
      <c r="K115" s="110" t="s">
        <v>7</v>
      </c>
      <c r="L115" s="46">
        <v>45788.0</v>
      </c>
      <c r="M115" s="47" t="s">
        <v>61</v>
      </c>
      <c r="N115" s="36" t="s">
        <v>213</v>
      </c>
      <c r="O115" s="36" t="s">
        <v>55</v>
      </c>
      <c r="P115" s="36" t="s">
        <v>55</v>
      </c>
      <c r="Q115" s="36" t="s">
        <v>55</v>
      </c>
      <c r="R115" s="56">
        <v>45996.0</v>
      </c>
      <c r="T115" s="48">
        <v>45818.0</v>
      </c>
      <c r="U115" s="36" t="s">
        <v>80</v>
      </c>
    </row>
    <row r="116">
      <c r="A116" s="27">
        <f t="shared" si="1"/>
        <v>107</v>
      </c>
      <c r="B116" s="2" t="str">
        <f t="array" ref="B116">XLOOKUP(E116,'GSM T4.2026'!D:D,'GSM T4.2026'!F:F)</f>
        <v>#N/A</v>
      </c>
      <c r="C116" s="113" t="s">
        <v>337</v>
      </c>
      <c r="D116" s="29" t="str">
        <f t="array" ref="D116">XLOOKUP(E116,'GSM T4.2026'!D:D,#REF!)</f>
        <v>#N/A</v>
      </c>
      <c r="E116" s="52" t="s">
        <v>338</v>
      </c>
      <c r="F116" s="60">
        <v>45968.0</v>
      </c>
      <c r="G116" s="61">
        <f t="shared" si="10"/>
        <v>45965</v>
      </c>
      <c r="H116" s="62">
        <f t="shared" si="11"/>
        <v>45963</v>
      </c>
      <c r="I116" s="40" t="s">
        <v>339</v>
      </c>
      <c r="J116" s="35" t="s">
        <v>44</v>
      </c>
      <c r="K116" s="110" t="s">
        <v>7</v>
      </c>
      <c r="M116" s="51" t="s">
        <v>71</v>
      </c>
      <c r="T116" s="106">
        <v>45818.0</v>
      </c>
      <c r="U116" s="36" t="s">
        <v>243</v>
      </c>
    </row>
    <row r="117">
      <c r="A117" s="27">
        <f t="shared" si="1"/>
        <v>108</v>
      </c>
      <c r="B117" s="2" t="str">
        <f t="array" ref="B117">XLOOKUP(E117,'GSM T4.2026'!D:D,'GSM T4.2026'!F:F)</f>
        <v>#N/A</v>
      </c>
      <c r="C117" s="28" t="str">
        <f t="array" ref="C117">XLOOKUP(E117,Sheet6!H:H,Sheet6!G:G)</f>
        <v>NTT</v>
      </c>
      <c r="D117" s="29" t="str">
        <f t="array" ref="D117">XLOOKUP(E117,'GSM T4.2026'!D:D,#REF!)</f>
        <v>#N/A</v>
      </c>
      <c r="E117" s="54" t="s">
        <v>340</v>
      </c>
      <c r="F117" s="69">
        <v>45968.0</v>
      </c>
      <c r="G117" s="32">
        <f t="shared" si="10"/>
        <v>45965</v>
      </c>
      <c r="H117" s="33">
        <f t="shared" si="11"/>
        <v>45963</v>
      </c>
      <c r="I117" s="70" t="s">
        <v>341</v>
      </c>
      <c r="J117" s="35" t="s">
        <v>44</v>
      </c>
      <c r="K117" s="110" t="s">
        <v>7</v>
      </c>
      <c r="M117" s="47" t="s">
        <v>61</v>
      </c>
      <c r="N117" s="56">
        <v>45996.0</v>
      </c>
      <c r="O117" s="56">
        <v>45996.0</v>
      </c>
      <c r="P117" s="56">
        <v>45996.0</v>
      </c>
      <c r="Q117" s="56">
        <v>45996.0</v>
      </c>
      <c r="R117" s="56">
        <v>45905.0</v>
      </c>
      <c r="S117" s="57"/>
      <c r="T117" s="40" t="s">
        <v>342</v>
      </c>
      <c r="U117" s="36" t="s">
        <v>81</v>
      </c>
    </row>
    <row r="118">
      <c r="A118" s="27">
        <f t="shared" si="1"/>
        <v>109</v>
      </c>
      <c r="B118" s="2" t="str">
        <f t="array" ref="B118">XLOOKUP(E118,'GSM T4.2026'!D:D,'GSM T4.2026'!F:F)</f>
        <v>#N/A</v>
      </c>
      <c r="C118" s="114" t="str">
        <f t="array" ref="C118">XLOOKUP(E118,Sheet6!H:H,Sheet6!G:G)</f>
        <v>GDU</v>
      </c>
      <c r="D118" s="29" t="str">
        <f t="array" ref="D118">XLOOKUP(E118,'GSM T4.2026'!D:D,#REF!)</f>
        <v>#N/A</v>
      </c>
      <c r="E118" s="2" t="s">
        <v>343</v>
      </c>
      <c r="F118" s="69">
        <v>45968.0</v>
      </c>
      <c r="G118" s="38">
        <f t="shared" si="10"/>
        <v>45965</v>
      </c>
      <c r="H118" s="39">
        <f t="shared" si="11"/>
        <v>45963</v>
      </c>
      <c r="I118" s="70" t="s">
        <v>344</v>
      </c>
      <c r="J118" s="35" t="s">
        <v>44</v>
      </c>
      <c r="K118" s="110" t="s">
        <v>7</v>
      </c>
      <c r="M118" s="47" t="s">
        <v>61</v>
      </c>
      <c r="T118" s="40" t="s">
        <v>345</v>
      </c>
      <c r="U118" s="36" t="s">
        <v>346</v>
      </c>
    </row>
    <row r="119">
      <c r="A119" s="27">
        <f t="shared" si="1"/>
        <v>110</v>
      </c>
      <c r="B119" s="2" t="str">
        <f t="array" ref="B119">XLOOKUP(E119,'GSM T4.2026'!D:D,'GSM T4.2026'!F:F)</f>
        <v>#N/A</v>
      </c>
      <c r="C119" s="111" t="str">
        <f t="array" ref="C119">XLOOKUP(E119,Sheet6!H:H,Sheet6!G:G)</f>
        <v>WGA</v>
      </c>
      <c r="D119" s="29" t="str">
        <f t="array" ref="D119">XLOOKUP(E119,'GSM T4.2026'!D:D,#REF!)</f>
        <v>#N/A</v>
      </c>
      <c r="E119" s="2" t="s">
        <v>347</v>
      </c>
      <c r="F119" s="69">
        <v>45969.0</v>
      </c>
      <c r="G119" s="38">
        <f t="shared" si="10"/>
        <v>45966</v>
      </c>
      <c r="H119" s="39">
        <f t="shared" si="11"/>
        <v>45964</v>
      </c>
      <c r="I119" s="70" t="s">
        <v>348</v>
      </c>
      <c r="J119" s="35" t="s">
        <v>44</v>
      </c>
      <c r="K119" s="110" t="s">
        <v>7</v>
      </c>
      <c r="M119" s="47" t="s">
        <v>61</v>
      </c>
      <c r="T119" s="34" t="s">
        <v>72</v>
      </c>
      <c r="U119" s="36" t="s">
        <v>349</v>
      </c>
    </row>
    <row r="120">
      <c r="A120" s="27">
        <f t="shared" si="1"/>
        <v>111</v>
      </c>
      <c r="B120" s="2" t="str">
        <f t="array" ref="B120">XLOOKUP(E120,'GSM T4.2026'!D:D,'GSM T4.2026'!F:F)</f>
        <v>#N/A</v>
      </c>
      <c r="C120" s="28" t="str">
        <f t="array" ref="C120">XLOOKUP(E120,Sheet6!H:H,Sheet6!G:G)</f>
        <v>LTC</v>
      </c>
      <c r="D120" s="29" t="str">
        <f t="array" ref="D120">XLOOKUP(E120,'GSM T4.2026'!D:D,#REF!)</f>
        <v>#N/A</v>
      </c>
      <c r="E120" s="54" t="s">
        <v>350</v>
      </c>
      <c r="F120" s="69">
        <v>45968.0</v>
      </c>
      <c r="G120" s="38">
        <f t="shared" si="10"/>
        <v>45965</v>
      </c>
      <c r="H120" s="38">
        <v>45965.0</v>
      </c>
      <c r="I120" s="70" t="s">
        <v>351</v>
      </c>
      <c r="J120" s="6"/>
      <c r="K120" s="110" t="s">
        <v>7</v>
      </c>
      <c r="L120" s="72"/>
      <c r="M120" s="47" t="s">
        <v>61</v>
      </c>
      <c r="N120" s="101" t="s">
        <v>196</v>
      </c>
      <c r="O120" s="101" t="s">
        <v>196</v>
      </c>
      <c r="P120" s="101" t="s">
        <v>193</v>
      </c>
      <c r="Q120" s="101" t="s">
        <v>205</v>
      </c>
      <c r="R120" s="101" t="s">
        <v>143</v>
      </c>
      <c r="S120" s="36"/>
      <c r="T120" s="34" t="s">
        <v>72</v>
      </c>
      <c r="U120" s="36" t="s">
        <v>349</v>
      </c>
    </row>
    <row r="121">
      <c r="A121" s="27">
        <f t="shared" si="1"/>
        <v>112</v>
      </c>
      <c r="B121" s="2" t="str">
        <f t="array" ref="B121">XLOOKUP(E121,'GSM T4.2026'!D:D,'GSM T4.2026'!F:F)</f>
        <v>#N/A</v>
      </c>
      <c r="C121" s="111" t="str">
        <f t="array" ref="C121">XLOOKUP(E121,Sheet6!H:H,Sheet6!G:G)</f>
        <v>DMR</v>
      </c>
      <c r="D121" s="29" t="str">
        <f t="array" ref="D121">XLOOKUP(E121,'GSM T4.2026'!D:D,#REF!)</f>
        <v>#N/A</v>
      </c>
      <c r="E121" s="52" t="s">
        <v>352</v>
      </c>
      <c r="F121" s="81">
        <v>45971.0</v>
      </c>
      <c r="G121" s="38">
        <f t="shared" si="10"/>
        <v>45968</v>
      </c>
      <c r="H121" s="39">
        <f t="shared" ref="H121:H134" si="12">F121-5</f>
        <v>45966</v>
      </c>
      <c r="I121" s="80" t="s">
        <v>353</v>
      </c>
      <c r="J121" s="35" t="s">
        <v>44</v>
      </c>
      <c r="K121" s="110" t="s">
        <v>7</v>
      </c>
      <c r="M121" s="51" t="s">
        <v>71</v>
      </c>
      <c r="T121" s="115">
        <v>45940.0</v>
      </c>
      <c r="U121" s="36" t="s">
        <v>354</v>
      </c>
    </row>
    <row r="122">
      <c r="A122" s="27">
        <f t="shared" si="1"/>
        <v>113</v>
      </c>
      <c r="B122" s="2" t="str">
        <f t="array" ref="B122">XLOOKUP(E122,'GSM T4.2026'!D:D,'GSM T4.2026'!F:F)</f>
        <v>#N/A</v>
      </c>
      <c r="C122" s="111" t="str">
        <f t="array" ref="C122">XLOOKUP(E122,Sheet6!H:H,Sheet6!G:G)</f>
        <v>PKD</v>
      </c>
      <c r="D122" s="29" t="str">
        <f t="array" ref="D122">XLOOKUP(E122,'GSM T4.2026'!D:D,#REF!)</f>
        <v>#N/A</v>
      </c>
      <c r="E122" s="2" t="s">
        <v>355</v>
      </c>
      <c r="F122" s="81">
        <v>45971.0</v>
      </c>
      <c r="G122" s="38">
        <v>45965.0</v>
      </c>
      <c r="H122" s="39">
        <f t="shared" si="12"/>
        <v>45966</v>
      </c>
      <c r="I122" s="40" t="s">
        <v>356</v>
      </c>
      <c r="J122" s="35" t="s">
        <v>44</v>
      </c>
      <c r="K122" s="110" t="s">
        <v>7</v>
      </c>
      <c r="M122" s="83" t="s">
        <v>203</v>
      </c>
      <c r="T122" s="40" t="s">
        <v>357</v>
      </c>
      <c r="U122" s="46">
        <v>45880.0</v>
      </c>
    </row>
    <row r="123">
      <c r="A123" s="27">
        <f t="shared" si="1"/>
        <v>114</v>
      </c>
      <c r="B123" s="2" t="str">
        <f t="array" ref="B123">XLOOKUP(E123,'GSM T4.2026'!D:D,'GSM T4.2026'!F:F)</f>
        <v>#N/A</v>
      </c>
      <c r="C123" s="28" t="str">
        <f t="array" ref="C123">XLOOKUP(E123,Sheet6!H:H,Sheet6!G:G)</f>
        <v>PPZ</v>
      </c>
      <c r="D123" s="29" t="str">
        <f t="array" ref="D123">XLOOKUP(E123,'GSM T4.2026'!D:D,#REF!)</f>
        <v>#N/A</v>
      </c>
      <c r="E123" s="30" t="s">
        <v>358</v>
      </c>
      <c r="F123" s="31">
        <v>45971.0</v>
      </c>
      <c r="G123" s="32">
        <f t="shared" ref="G123:G134" si="13">F123-3</f>
        <v>45968</v>
      </c>
      <c r="H123" s="33">
        <f t="shared" si="12"/>
        <v>45966</v>
      </c>
      <c r="I123" s="34" t="s">
        <v>359</v>
      </c>
      <c r="J123" s="35" t="s">
        <v>44</v>
      </c>
      <c r="K123" s="110" t="s">
        <v>7</v>
      </c>
      <c r="T123" s="40" t="s">
        <v>360</v>
      </c>
      <c r="U123" s="46">
        <v>45938.0</v>
      </c>
    </row>
    <row r="124">
      <c r="A124" s="27">
        <f t="shared" si="1"/>
        <v>115</v>
      </c>
      <c r="B124" s="2" t="str">
        <f t="array" ref="B124">XLOOKUP(E124,'GSM T4.2026'!D:D,'GSM T4.2026'!F:F)</f>
        <v>#N/A</v>
      </c>
      <c r="C124" s="28" t="str">
        <f t="array" ref="C124">XLOOKUP(E124,Sheet6!H:H,Sheet6!G:G)</f>
        <v>HTC</v>
      </c>
      <c r="D124" s="29" t="str">
        <f t="array" ref="D124">XLOOKUP(E124,'GSM T4.2026'!D:D,#REF!)</f>
        <v>#N/A</v>
      </c>
      <c r="E124" s="30" t="s">
        <v>361</v>
      </c>
      <c r="F124" s="31">
        <v>45971.0</v>
      </c>
      <c r="G124" s="32">
        <f t="shared" si="13"/>
        <v>45968</v>
      </c>
      <c r="H124" s="33">
        <f t="shared" si="12"/>
        <v>45966</v>
      </c>
      <c r="I124" s="34" t="s">
        <v>359</v>
      </c>
      <c r="J124" s="35" t="s">
        <v>44</v>
      </c>
      <c r="K124" s="110" t="s">
        <v>7</v>
      </c>
      <c r="T124" s="40" t="s">
        <v>213</v>
      </c>
      <c r="U124" s="36" t="s">
        <v>362</v>
      </c>
    </row>
    <row r="125">
      <c r="A125" s="27">
        <f t="shared" si="1"/>
        <v>116</v>
      </c>
      <c r="B125" s="2" t="str">
        <f t="array" ref="B125">XLOOKUP(E125,'GSM T4.2026'!D:D,'GSM T4.2026'!F:F)</f>
        <v>#N/A</v>
      </c>
      <c r="C125" s="28" t="str">
        <f t="array" ref="C125">XLOOKUP(E125,Sheet6!H:H,Sheet6!G:G)</f>
        <v>A106</v>
      </c>
      <c r="D125" s="29" t="str">
        <f t="array" ref="D125">XLOOKUP(E125,'GSM T4.2026'!D:D,#REF!)</f>
        <v>#N/A</v>
      </c>
      <c r="E125" s="52" t="s">
        <v>363</v>
      </c>
      <c r="F125" s="60">
        <v>45971.0</v>
      </c>
      <c r="G125" s="61">
        <f t="shared" si="13"/>
        <v>45968</v>
      </c>
      <c r="H125" s="62">
        <f t="shared" si="12"/>
        <v>45966</v>
      </c>
      <c r="I125" s="40" t="s">
        <v>364</v>
      </c>
      <c r="J125" s="35" t="s">
        <v>44</v>
      </c>
      <c r="K125" s="110" t="s">
        <v>7</v>
      </c>
      <c r="M125" s="51" t="s">
        <v>71</v>
      </c>
      <c r="T125" s="40" t="s">
        <v>365</v>
      </c>
      <c r="U125" s="36" t="s">
        <v>329</v>
      </c>
    </row>
    <row r="126">
      <c r="A126" s="27">
        <f t="shared" si="1"/>
        <v>117</v>
      </c>
      <c r="B126" s="2" t="str">
        <f t="array" ref="B126">XLOOKUP(E126,'GSM T4.2026'!D:D,'GSM T4.2026'!F:F)</f>
        <v>#N/A</v>
      </c>
      <c r="C126" s="28" t="str">
        <f t="array" ref="C126">XLOOKUP(E126,Sheet6!H:H,Sheet6!G:G)</f>
        <v>A108</v>
      </c>
      <c r="D126" s="29" t="str">
        <f t="array" ref="D126">XLOOKUP(E126,'GSM T4.2026'!D:D,#REF!)</f>
        <v>#N/A</v>
      </c>
      <c r="E126" s="52" t="s">
        <v>366</v>
      </c>
      <c r="F126" s="60">
        <v>45971.0</v>
      </c>
      <c r="G126" s="61">
        <f t="shared" si="13"/>
        <v>45968</v>
      </c>
      <c r="H126" s="62">
        <f t="shared" si="12"/>
        <v>45966</v>
      </c>
      <c r="I126" s="40" t="s">
        <v>367</v>
      </c>
      <c r="J126" s="35" t="s">
        <v>44</v>
      </c>
      <c r="K126" s="110" t="s">
        <v>7</v>
      </c>
      <c r="M126" s="51" t="s">
        <v>71</v>
      </c>
      <c r="T126" s="48">
        <v>45668.0</v>
      </c>
      <c r="U126" s="46">
        <v>45911.0</v>
      </c>
    </row>
    <row r="127">
      <c r="A127" s="27">
        <f t="shared" si="1"/>
        <v>118</v>
      </c>
      <c r="B127" s="2" t="str">
        <f t="array" ref="B127">XLOOKUP(E127,'GSM T4.2026'!D:D,'GSM T4.2026'!F:F)</f>
        <v>#N/A</v>
      </c>
      <c r="C127" s="111" t="str">
        <f t="array" ref="C127">XLOOKUP(E127,Sheet6!H:H,Sheet6!G:G)</f>
        <v>PGS</v>
      </c>
      <c r="D127" s="29" t="str">
        <f t="array" ref="D127">XLOOKUP(E127,'GSM T4.2026'!D:D,#REF!)</f>
        <v>#N/A</v>
      </c>
      <c r="E127" s="2" t="s">
        <v>368</v>
      </c>
      <c r="F127" s="69">
        <v>45972.0</v>
      </c>
      <c r="G127" s="38">
        <f t="shared" si="13"/>
        <v>45969</v>
      </c>
      <c r="H127" s="39">
        <f t="shared" si="12"/>
        <v>45967</v>
      </c>
      <c r="I127" s="70" t="s">
        <v>369</v>
      </c>
      <c r="J127" s="35" t="s">
        <v>44</v>
      </c>
      <c r="K127" s="110" t="s">
        <v>7</v>
      </c>
      <c r="L127" s="72"/>
      <c r="M127" s="47" t="s">
        <v>61</v>
      </c>
      <c r="T127" s="106">
        <v>45727.0</v>
      </c>
      <c r="U127" s="36" t="s">
        <v>89</v>
      </c>
    </row>
    <row r="128">
      <c r="A128" s="27">
        <f t="shared" si="1"/>
        <v>119</v>
      </c>
      <c r="B128" s="2" t="str">
        <f t="array" ref="B128">XLOOKUP(E128,'GSM T4.2026'!D:D,'GSM T4.2026'!F:F)</f>
        <v>#N/A</v>
      </c>
      <c r="C128" s="28" t="str">
        <f t="array" ref="C128">XLOOKUP(E128,Sheet6!H:H,Sheet6!G:G)</f>
        <v>VPC</v>
      </c>
      <c r="D128" s="29" t="str">
        <f t="array" ref="D128">XLOOKUP(E128,'GSM T4.2026'!D:D,#REF!)</f>
        <v>#N/A</v>
      </c>
      <c r="E128" s="30" t="s">
        <v>370</v>
      </c>
      <c r="F128" s="31">
        <v>45973.0</v>
      </c>
      <c r="G128" s="32">
        <f t="shared" si="13"/>
        <v>45970</v>
      </c>
      <c r="H128" s="33">
        <f t="shared" si="12"/>
        <v>45968</v>
      </c>
      <c r="I128" s="34" t="s">
        <v>371</v>
      </c>
      <c r="J128" s="35" t="s">
        <v>44</v>
      </c>
      <c r="K128" s="110" t="s">
        <v>7</v>
      </c>
      <c r="T128" s="106">
        <v>45727.0</v>
      </c>
      <c r="U128" s="36" t="s">
        <v>89</v>
      </c>
    </row>
    <row r="129">
      <c r="A129" s="27">
        <f t="shared" si="1"/>
        <v>120</v>
      </c>
      <c r="B129" s="2" t="str">
        <f t="array" ref="B129">XLOOKUP(E129,'GSM T4.2026'!D:D,'GSM T4.2026'!F:F)</f>
        <v>#N/A</v>
      </c>
      <c r="C129" s="28" t="str">
        <f t="array" ref="C129">XLOOKUP(E129,Sheet6!H:H,Sheet6!G:G)</f>
        <v>A109</v>
      </c>
      <c r="D129" s="29" t="str">
        <f t="array" ref="D129">XLOOKUP(E129,'GSM T4.2026'!D:D,#REF!)</f>
        <v>#N/A</v>
      </c>
      <c r="E129" s="52" t="s">
        <v>372</v>
      </c>
      <c r="F129" s="60">
        <v>45976.0</v>
      </c>
      <c r="G129" s="61">
        <f t="shared" si="13"/>
        <v>45973</v>
      </c>
      <c r="H129" s="62">
        <f t="shared" si="12"/>
        <v>45971</v>
      </c>
      <c r="I129" s="40" t="s">
        <v>373</v>
      </c>
      <c r="J129" s="35" t="s">
        <v>44</v>
      </c>
      <c r="K129" s="110" t="s">
        <v>7</v>
      </c>
      <c r="M129" s="51" t="s">
        <v>71</v>
      </c>
      <c r="T129" s="34" t="s">
        <v>374</v>
      </c>
      <c r="U129" s="36" t="s">
        <v>375</v>
      </c>
    </row>
    <row r="130">
      <c r="A130" s="27">
        <f t="shared" si="1"/>
        <v>121</v>
      </c>
      <c r="B130" s="2" t="str">
        <f t="array" ref="B130">XLOOKUP(E130,'GSM T4.2026'!D:D,'GSM T4.2026'!F:F)</f>
        <v>#N/A</v>
      </c>
      <c r="C130" s="111" t="str">
        <f t="array" ref="C130">XLOOKUP(E130,Sheet6!H:H,Sheet6!G:G)</f>
        <v>SSR</v>
      </c>
      <c r="D130" s="29" t="str">
        <f t="array" ref="D130">XLOOKUP(E130,'GSM T4.2026'!D:D,#REF!)</f>
        <v>#N/A</v>
      </c>
      <c r="E130" s="30" t="s">
        <v>376</v>
      </c>
      <c r="F130" s="31">
        <v>45977.0</v>
      </c>
      <c r="G130" s="32">
        <f t="shared" si="13"/>
        <v>45974</v>
      </c>
      <c r="H130" s="33">
        <f t="shared" si="12"/>
        <v>45972</v>
      </c>
      <c r="I130" s="34" t="s">
        <v>377</v>
      </c>
      <c r="J130" s="35" t="s">
        <v>44</v>
      </c>
      <c r="K130" s="110" t="s">
        <v>7</v>
      </c>
      <c r="T130" s="106">
        <v>45849.0</v>
      </c>
      <c r="U130" s="36" t="s">
        <v>378</v>
      </c>
    </row>
    <row r="131">
      <c r="A131" s="27">
        <f t="shared" si="1"/>
        <v>122</v>
      </c>
      <c r="B131" s="2" t="str">
        <f t="array" ref="B131">XLOOKUP(E131,'GSM T4.2026'!D:D,'GSM T4.2026'!F:F)</f>
        <v>#N/A</v>
      </c>
      <c r="C131" s="28" t="str">
        <f t="array" ref="C131">XLOOKUP(E131,Sheet6!H:H,Sheet6!G:G)</f>
        <v>TVK</v>
      </c>
      <c r="D131" s="29" t="str">
        <f t="array" ref="D131">XLOOKUP(E131,'GSM T4.2026'!D:D,#REF!)</f>
        <v>#N/A</v>
      </c>
      <c r="E131" s="2" t="s">
        <v>379</v>
      </c>
      <c r="F131" s="69">
        <v>45981.0</v>
      </c>
      <c r="G131" s="38">
        <f t="shared" si="13"/>
        <v>45978</v>
      </c>
      <c r="H131" s="39">
        <f t="shared" si="12"/>
        <v>45976</v>
      </c>
      <c r="I131" s="70" t="s">
        <v>380</v>
      </c>
      <c r="J131" s="35" t="s">
        <v>44</v>
      </c>
      <c r="K131" s="110" t="s">
        <v>7</v>
      </c>
      <c r="M131" s="47" t="s">
        <v>61</v>
      </c>
      <c r="T131" s="115">
        <v>45941.0</v>
      </c>
      <c r="U131" s="36" t="s">
        <v>381</v>
      </c>
    </row>
    <row r="132">
      <c r="A132" s="27">
        <f t="shared" si="1"/>
        <v>123</v>
      </c>
      <c r="B132" s="2" t="str">
        <f t="array" ref="B132">XLOOKUP(E132,'GSM T4.2026'!D:D,'GSM T4.2026'!F:F)</f>
        <v>#N/A</v>
      </c>
      <c r="C132" s="28" t="str">
        <f t="array" ref="C132">XLOOKUP(E132,Sheet6!H:H,Sheet6!G:G)</f>
        <v>KDG</v>
      </c>
      <c r="D132" s="29" t="str">
        <f t="array" ref="D132">XLOOKUP(E132,'GSM T4.2026'!D:D,#REF!)</f>
        <v>#N/A</v>
      </c>
      <c r="E132" s="52" t="s">
        <v>382</v>
      </c>
      <c r="F132" s="81">
        <v>45984.0</v>
      </c>
      <c r="G132" s="38">
        <f t="shared" si="13"/>
        <v>45981</v>
      </c>
      <c r="H132" s="39">
        <f t="shared" si="12"/>
        <v>45979</v>
      </c>
      <c r="I132" s="99" t="s">
        <v>383</v>
      </c>
      <c r="J132" s="35"/>
      <c r="K132" s="110" t="s">
        <v>7</v>
      </c>
      <c r="L132" s="36"/>
      <c r="M132" s="47" t="s">
        <v>61</v>
      </c>
      <c r="T132" s="40" t="s">
        <v>384</v>
      </c>
      <c r="U132" s="36" t="s">
        <v>63</v>
      </c>
    </row>
    <row r="133">
      <c r="A133" s="27">
        <f t="shared" si="1"/>
        <v>124</v>
      </c>
      <c r="B133" s="2" t="str">
        <f t="array" ref="B133">XLOOKUP(E133,'GSM T4.2026'!D:D,'GSM T4.2026'!F:F)</f>
        <v>#N/A</v>
      </c>
      <c r="C133" s="28" t="str">
        <f t="array" ref="C133">XLOOKUP(E133,Sheet6!H:H,Sheet6!G:G)</f>
        <v>VH7 </v>
      </c>
      <c r="D133" s="29" t="str">
        <f t="array" ref="D133">XLOOKUP(E133,'GSM T4.2026'!D:D,#REF!)</f>
        <v>#N/A</v>
      </c>
      <c r="E133" s="96" t="s">
        <v>385</v>
      </c>
      <c r="F133" s="60">
        <v>45988.0</v>
      </c>
      <c r="G133" s="61">
        <f t="shared" si="13"/>
        <v>45985</v>
      </c>
      <c r="H133" s="62">
        <f t="shared" si="12"/>
        <v>45983</v>
      </c>
      <c r="I133" s="40" t="s">
        <v>386</v>
      </c>
      <c r="J133" s="35" t="s">
        <v>44</v>
      </c>
      <c r="K133" s="110" t="s">
        <v>7</v>
      </c>
      <c r="M133" s="51" t="s">
        <v>71</v>
      </c>
      <c r="T133" s="53">
        <v>46001.0</v>
      </c>
      <c r="U133" s="36" t="s">
        <v>387</v>
      </c>
    </row>
    <row r="134">
      <c r="A134" s="27">
        <f t="shared" si="1"/>
        <v>125</v>
      </c>
      <c r="B134" s="2" t="str">
        <f t="array" ref="B134">XLOOKUP(E134,'GSM T4.2026'!D:D,'GSM T4.2026'!F:F)</f>
        <v>#N/A</v>
      </c>
      <c r="C134" s="28" t="str">
        <f t="array" ref="C134">XLOOKUP(E134,Sheet6!H:H,Sheet6!G:G)</f>
        <v>A102</v>
      </c>
      <c r="D134" s="29" t="str">
        <f t="array" ref="D134">XLOOKUP(E134,'GSM T4.2026'!D:D,#REF!)</f>
        <v>#N/A</v>
      </c>
      <c r="E134" s="96" t="s">
        <v>388</v>
      </c>
      <c r="F134" s="60">
        <v>45988.0</v>
      </c>
      <c r="G134" s="61">
        <f t="shared" si="13"/>
        <v>45985</v>
      </c>
      <c r="H134" s="62">
        <f t="shared" si="12"/>
        <v>45983</v>
      </c>
      <c r="I134" s="40" t="s">
        <v>386</v>
      </c>
      <c r="J134" s="35" t="s">
        <v>44</v>
      </c>
      <c r="K134" s="110" t="s">
        <v>7</v>
      </c>
      <c r="M134" s="51" t="s">
        <v>71</v>
      </c>
      <c r="T134" s="53">
        <v>46001.0</v>
      </c>
      <c r="U134" s="36" t="s">
        <v>387</v>
      </c>
    </row>
    <row r="135">
      <c r="A135" s="27">
        <f t="shared" si="1"/>
        <v>126</v>
      </c>
      <c r="B135" s="2" t="str">
        <f t="array" ref="B135">XLOOKUP(E135,'GSM T4.2026'!D:D,'GSM T4.2026'!F:F)</f>
        <v>#N/A</v>
      </c>
      <c r="C135" s="28" t="str">
        <f t="array" ref="C135">XLOOKUP(E135,Sheet6!H:H,Sheet6!G:G)</f>
        <v>VHT</v>
      </c>
      <c r="D135" s="29" t="str">
        <f t="array" ref="D135">XLOOKUP(E135,'GSM T4.2026'!D:D,#REF!)</f>
        <v>#N/A</v>
      </c>
      <c r="E135" s="116" t="s">
        <v>389</v>
      </c>
      <c r="F135" s="117" t="s">
        <v>390</v>
      </c>
      <c r="G135" s="27" t="s">
        <v>391</v>
      </c>
      <c r="H135" s="27" t="s">
        <v>392</v>
      </c>
      <c r="I135" s="70" t="s">
        <v>393</v>
      </c>
      <c r="J135" s="35" t="s">
        <v>44</v>
      </c>
      <c r="K135" s="110" t="s">
        <v>7</v>
      </c>
      <c r="M135" s="47" t="s">
        <v>61</v>
      </c>
    </row>
    <row r="136">
      <c r="A136" s="27">
        <f t="shared" si="1"/>
        <v>127</v>
      </c>
      <c r="B136" s="2" t="str">
        <f t="array" ref="B136">XLOOKUP(E136,'GSM T4.2026'!D:D,'GSM T4.2026'!F:F)</f>
        <v>#N/A</v>
      </c>
      <c r="C136" s="28" t="str">
        <f t="array" ref="C136">XLOOKUP(E136,Sheet6!H:H,Sheet6!G:G)</f>
        <v>NDT</v>
      </c>
      <c r="D136" s="29" t="str">
        <f t="array" ref="D136">XLOOKUP(E136,'GSM T4.2026'!D:D,#REF!)</f>
        <v>#N/A</v>
      </c>
      <c r="E136" s="12" t="s">
        <v>394</v>
      </c>
      <c r="F136" s="59" t="s">
        <v>395</v>
      </c>
      <c r="G136" s="27" t="s">
        <v>396</v>
      </c>
      <c r="H136" s="38" t="s">
        <v>397</v>
      </c>
      <c r="I136" s="74" t="s">
        <v>398</v>
      </c>
      <c r="J136" s="35" t="s">
        <v>44</v>
      </c>
      <c r="K136" s="36" t="s">
        <v>7</v>
      </c>
      <c r="M136" s="118"/>
      <c r="N136" s="118"/>
      <c r="P136" s="2"/>
    </row>
    <row r="137">
      <c r="A137" s="27">
        <f t="shared" si="1"/>
        <v>128</v>
      </c>
      <c r="B137" s="2" t="str">
        <f t="array" ref="B137">XLOOKUP(E137,'GSM T4.2026'!D:D,'GSM T4.2026'!F:F)</f>
        <v>#N/A</v>
      </c>
      <c r="C137" s="28" t="str">
        <f t="array" ref="C137">XLOOKUP(E137,Sheet6!H:H,Sheet6!G:G)</f>
        <v>IAP</v>
      </c>
      <c r="D137" s="29" t="str">
        <f t="array" ref="D137">XLOOKUP(E137,'GSM T4.2026'!D:D,#REF!)</f>
        <v>#N/A</v>
      </c>
      <c r="E137" s="12" t="s">
        <v>399</v>
      </c>
      <c r="F137" s="73">
        <v>45752.0</v>
      </c>
      <c r="G137" s="38">
        <f>F137-3</f>
        <v>45749</v>
      </c>
      <c r="H137" s="38" t="s">
        <v>400</v>
      </c>
      <c r="I137" s="74" t="s">
        <v>401</v>
      </c>
      <c r="J137" s="35" t="s">
        <v>44</v>
      </c>
      <c r="K137" s="36" t="s">
        <v>7</v>
      </c>
      <c r="P137" s="2"/>
    </row>
    <row r="138">
      <c r="A138" s="27">
        <f t="shared" si="1"/>
        <v>129</v>
      </c>
      <c r="B138" s="2" t="str">
        <f t="array" ref="B138">XLOOKUP(E138,'GSM T4.2026'!D:D,'GSM T4.2026'!F:F)</f>
        <v>#N/A</v>
      </c>
      <c r="C138" s="28" t="str">
        <f t="array" ref="C138">XLOOKUP(E138,Sheet6!H:H,Sheet6!G:G)</f>
        <v>DS7</v>
      </c>
      <c r="D138" s="29" t="str">
        <f t="array" ref="D138">XLOOKUP(E138,'GSM T4.2026'!D:D,#REF!)</f>
        <v>#N/A</v>
      </c>
      <c r="E138" s="12" t="s">
        <v>402</v>
      </c>
      <c r="F138" s="38"/>
      <c r="G138" s="38"/>
      <c r="H138" s="39"/>
      <c r="I138" s="38"/>
      <c r="J138" s="6"/>
      <c r="K138" s="72"/>
      <c r="M138" s="72"/>
      <c r="N138" s="72">
        <v>45719.0</v>
      </c>
      <c r="O138" s="72">
        <v>45719.0</v>
      </c>
      <c r="P138" s="72">
        <v>45719.0</v>
      </c>
      <c r="Q138" s="72">
        <v>45719.0</v>
      </c>
      <c r="R138" s="72">
        <v>45750.0</v>
      </c>
      <c r="S138" s="72"/>
    </row>
    <row r="139">
      <c r="A139" s="27">
        <f t="shared" si="1"/>
        <v>130</v>
      </c>
      <c r="B139" s="2" t="str">
        <f t="array" ref="B139">XLOOKUP(E139,'GSM T4.2026'!D:D,'GSM T4.2026'!F:F)</f>
        <v>#N/A</v>
      </c>
      <c r="C139" s="28" t="str">
        <f t="array" ref="C139">XLOOKUP(E139,Sheet6!H:H,Sheet6!G:G)</f>
        <v>MZK</v>
      </c>
      <c r="D139" s="29" t="str">
        <f t="array" ref="D139">XLOOKUP(E139,'GSM T4.2026'!D:D,#REF!)</f>
        <v>#N/A</v>
      </c>
      <c r="E139" s="12" t="s">
        <v>403</v>
      </c>
      <c r="F139" s="37"/>
      <c r="G139" s="38"/>
      <c r="H139" s="39"/>
      <c r="I139" s="119"/>
      <c r="J139" s="6"/>
      <c r="K139" s="72"/>
      <c r="M139" s="72"/>
      <c r="N139" s="72">
        <v>45811.0</v>
      </c>
      <c r="O139" s="72">
        <v>45841.0</v>
      </c>
      <c r="P139" s="72">
        <v>45811.0</v>
      </c>
      <c r="Q139" s="72">
        <v>45811.0</v>
      </c>
      <c r="R139" s="72">
        <v>45841.0</v>
      </c>
      <c r="S139" s="72"/>
    </row>
    <row r="140">
      <c r="A140" s="27">
        <f t="shared" si="1"/>
        <v>131</v>
      </c>
      <c r="B140" s="2" t="str">
        <f t="array" ref="B140">XLOOKUP(E140,'GSM T4.2026'!D:D,'GSM T4.2026'!F:F)</f>
        <v>#N/A</v>
      </c>
      <c r="C140" s="28" t="str">
        <f t="array" ref="C140">XLOOKUP(E140,Sheet6!H:H,Sheet6!G:G)</f>
        <v>LPM</v>
      </c>
      <c r="D140" s="29" t="str">
        <f t="array" ref="D140">XLOOKUP(E140,'GSM T4.2026'!D:D,#REF!)</f>
        <v>#N/A</v>
      </c>
      <c r="E140" s="12" t="s">
        <v>404</v>
      </c>
      <c r="F140" s="59"/>
      <c r="G140" s="38"/>
      <c r="H140" s="39"/>
      <c r="I140" s="40"/>
      <c r="J140" s="35"/>
      <c r="K140" s="36"/>
      <c r="M140" s="36"/>
      <c r="N140" s="36" t="s">
        <v>143</v>
      </c>
      <c r="O140" s="36" t="s">
        <v>180</v>
      </c>
      <c r="P140" s="36" t="s">
        <v>192</v>
      </c>
      <c r="Q140" s="36" t="s">
        <v>183</v>
      </c>
      <c r="R140" s="36" t="s">
        <v>176</v>
      </c>
      <c r="S140" s="36"/>
    </row>
    <row r="141">
      <c r="A141" s="27">
        <f t="shared" si="1"/>
        <v>132</v>
      </c>
      <c r="B141" s="2" t="str">
        <f t="array" ref="B141">XLOOKUP(E141,'GSM T4.2026'!D:D,'GSM T4.2026'!F:F)</f>
        <v>#N/A</v>
      </c>
      <c r="C141" s="49" t="s">
        <v>405</v>
      </c>
      <c r="D141" s="29" t="str">
        <f t="array" ref="D141">XLOOKUP(E141,'GSM T4.2026'!D:D,#REF!)</f>
        <v>#N/A</v>
      </c>
      <c r="E141" s="52" t="s">
        <v>406</v>
      </c>
      <c r="F141" s="120"/>
      <c r="G141" s="120"/>
      <c r="H141" s="120"/>
      <c r="I141" s="10"/>
      <c r="J141" s="6"/>
      <c r="L141" s="36" t="s">
        <v>407</v>
      </c>
      <c r="M141" s="51" t="s">
        <v>71</v>
      </c>
    </row>
    <row r="142">
      <c r="A142" s="27">
        <f t="shared" si="1"/>
        <v>133</v>
      </c>
      <c r="B142" s="2" t="str">
        <f t="array" ref="B142">XLOOKUP(E142,'GSM T4.2026'!D:D,'GSM T4.2026'!F:F)</f>
        <v>#N/A</v>
      </c>
      <c r="C142" s="49" t="s">
        <v>408</v>
      </c>
      <c r="D142" s="29" t="str">
        <f t="array" ref="D142">XLOOKUP(E142,'GSM T4.2026'!D:D,#REF!)</f>
        <v>#N/A</v>
      </c>
      <c r="E142" s="52" t="s">
        <v>409</v>
      </c>
      <c r="F142" s="120"/>
      <c r="G142" s="120"/>
      <c r="H142" s="120"/>
      <c r="I142" s="10"/>
      <c r="J142" s="6"/>
      <c r="L142" s="36" t="s">
        <v>407</v>
      </c>
      <c r="M142" s="51" t="s">
        <v>71</v>
      </c>
    </row>
    <row r="143">
      <c r="A143" s="10"/>
      <c r="B143" s="10"/>
      <c r="C143" s="10"/>
      <c r="D143" s="10"/>
      <c r="E143" s="10"/>
      <c r="F143" s="120"/>
      <c r="G143" s="120"/>
      <c r="H143" s="120"/>
      <c r="I143" s="10"/>
      <c r="J143" s="6"/>
    </row>
    <row r="144">
      <c r="A144" s="10"/>
      <c r="B144" s="10"/>
      <c r="C144" s="10"/>
      <c r="D144" s="10"/>
      <c r="E144" s="10"/>
      <c r="F144" s="120"/>
      <c r="G144" s="120"/>
      <c r="H144" s="120"/>
      <c r="I144" s="10"/>
      <c r="J144" s="6"/>
    </row>
    <row r="145">
      <c r="A145" s="10"/>
      <c r="B145" s="10"/>
      <c r="C145" s="10"/>
      <c r="D145" s="10"/>
      <c r="E145" s="10"/>
      <c r="F145" s="120"/>
      <c r="G145" s="120"/>
      <c r="H145" s="120"/>
      <c r="I145" s="10"/>
      <c r="J145" s="6"/>
    </row>
    <row r="146">
      <c r="A146" s="10"/>
      <c r="B146" s="10"/>
      <c r="C146" s="10"/>
      <c r="D146" s="10"/>
      <c r="E146" s="10"/>
      <c r="F146" s="120"/>
      <c r="G146" s="120"/>
      <c r="H146" s="120"/>
      <c r="I146" s="10"/>
      <c r="J146" s="6"/>
    </row>
    <row r="147">
      <c r="A147" s="10"/>
      <c r="B147" s="10"/>
      <c r="C147" s="10"/>
      <c r="D147" s="10"/>
      <c r="E147" s="10"/>
      <c r="F147" s="120"/>
      <c r="G147" s="120"/>
      <c r="H147" s="120"/>
      <c r="I147" s="10"/>
      <c r="J147" s="6"/>
    </row>
    <row r="148">
      <c r="A148" s="10"/>
      <c r="B148" s="10"/>
      <c r="C148" s="10"/>
      <c r="D148" s="10"/>
      <c r="E148" s="10"/>
      <c r="F148" s="120"/>
      <c r="G148" s="120"/>
      <c r="H148" s="120"/>
      <c r="I148" s="10"/>
      <c r="J148" s="6"/>
    </row>
    <row r="149">
      <c r="A149" s="10"/>
      <c r="B149" s="10"/>
      <c r="C149" s="10"/>
      <c r="D149" s="10"/>
      <c r="E149" s="10"/>
      <c r="F149" s="120"/>
      <c r="G149" s="120"/>
      <c r="H149" s="120"/>
      <c r="I149" s="10"/>
      <c r="J149" s="6"/>
    </row>
    <row r="150">
      <c r="A150" s="10"/>
      <c r="B150" s="10"/>
      <c r="C150" s="10"/>
      <c r="D150" s="10"/>
      <c r="E150" s="10"/>
      <c r="F150" s="120"/>
      <c r="G150" s="120"/>
      <c r="H150" s="120"/>
      <c r="I150" s="10"/>
      <c r="J150" s="6"/>
    </row>
    <row r="151">
      <c r="A151" s="10"/>
      <c r="B151" s="10"/>
      <c r="C151" s="10"/>
      <c r="D151" s="10"/>
      <c r="E151" s="10"/>
      <c r="F151" s="120"/>
      <c r="G151" s="120"/>
      <c r="H151" s="120"/>
      <c r="I151" s="10"/>
      <c r="J151" s="6"/>
    </row>
    <row r="152">
      <c r="A152" s="10"/>
      <c r="B152" s="10"/>
      <c r="C152" s="10"/>
      <c r="D152" s="10"/>
      <c r="E152" s="10"/>
      <c r="F152" s="120"/>
      <c r="G152" s="120"/>
      <c r="H152" s="120"/>
      <c r="I152" s="10"/>
      <c r="J152" s="6"/>
    </row>
    <row r="153">
      <c r="A153" s="10"/>
      <c r="B153" s="10"/>
      <c r="C153" s="10"/>
      <c r="D153" s="10"/>
      <c r="E153" s="10"/>
      <c r="F153" s="120"/>
      <c r="G153" s="120"/>
      <c r="H153" s="120"/>
      <c r="I153" s="10"/>
      <c r="J153" s="6"/>
    </row>
    <row r="154">
      <c r="A154" s="10"/>
      <c r="B154" s="10"/>
      <c r="C154" s="10"/>
      <c r="D154" s="10"/>
      <c r="E154" s="10"/>
      <c r="F154" s="120"/>
      <c r="G154" s="120"/>
      <c r="H154" s="120"/>
      <c r="I154" s="10"/>
      <c r="J154" s="6"/>
    </row>
    <row r="155">
      <c r="A155" s="10"/>
      <c r="B155" s="10"/>
      <c r="C155" s="10"/>
      <c r="D155" s="10"/>
      <c r="E155" s="10"/>
      <c r="F155" s="120"/>
      <c r="G155" s="120"/>
      <c r="H155" s="120"/>
      <c r="I155" s="10"/>
      <c r="J155" s="6"/>
    </row>
    <row r="156">
      <c r="A156" s="10"/>
      <c r="B156" s="10"/>
      <c r="C156" s="10"/>
      <c r="D156" s="10"/>
      <c r="E156" s="10"/>
      <c r="F156" s="120"/>
      <c r="G156" s="120"/>
      <c r="H156" s="120"/>
      <c r="I156" s="10"/>
      <c r="J156" s="6"/>
    </row>
    <row r="157">
      <c r="A157" s="10"/>
      <c r="B157" s="10"/>
      <c r="C157" s="10"/>
      <c r="D157" s="10"/>
      <c r="E157" s="10"/>
      <c r="F157" s="120"/>
      <c r="G157" s="120"/>
      <c r="H157" s="120"/>
      <c r="I157" s="10"/>
      <c r="J157" s="6"/>
    </row>
    <row r="158">
      <c r="A158" s="10"/>
      <c r="B158" s="10"/>
      <c r="C158" s="10"/>
      <c r="D158" s="10"/>
      <c r="E158" s="10"/>
      <c r="F158" s="120"/>
      <c r="G158" s="120"/>
      <c r="H158" s="120"/>
      <c r="I158" s="10"/>
      <c r="J158" s="6"/>
    </row>
    <row r="159">
      <c r="A159" s="10"/>
      <c r="B159" s="10"/>
      <c r="C159" s="10"/>
      <c r="D159" s="10"/>
      <c r="E159" s="10"/>
      <c r="F159" s="120"/>
      <c r="G159" s="120"/>
      <c r="H159" s="120"/>
      <c r="I159" s="10"/>
      <c r="J159" s="6"/>
    </row>
    <row r="160">
      <c r="A160" s="10"/>
      <c r="B160" s="10"/>
      <c r="C160" s="10"/>
      <c r="D160" s="10"/>
      <c r="E160" s="10"/>
      <c r="F160" s="120"/>
      <c r="G160" s="120"/>
      <c r="H160" s="120"/>
      <c r="I160" s="10"/>
      <c r="J160" s="6"/>
    </row>
    <row r="161">
      <c r="A161" s="10"/>
      <c r="B161" s="10"/>
      <c r="C161" s="10"/>
      <c r="D161" s="10"/>
      <c r="E161" s="10"/>
      <c r="F161" s="120"/>
      <c r="G161" s="120"/>
      <c r="H161" s="120"/>
      <c r="I161" s="10"/>
      <c r="J161" s="6"/>
    </row>
    <row r="162">
      <c r="A162" s="10"/>
      <c r="B162" s="10"/>
      <c r="C162" s="10"/>
      <c r="D162" s="10"/>
      <c r="E162" s="10"/>
      <c r="F162" s="120"/>
      <c r="G162" s="120"/>
      <c r="H162" s="120"/>
      <c r="I162" s="10"/>
      <c r="J162" s="6"/>
    </row>
    <row r="163">
      <c r="A163" s="10"/>
      <c r="B163" s="10"/>
      <c r="C163" s="10"/>
      <c r="D163" s="10"/>
      <c r="E163" s="10"/>
      <c r="F163" s="120"/>
      <c r="G163" s="120"/>
      <c r="H163" s="120"/>
      <c r="I163" s="10"/>
      <c r="J163" s="6"/>
    </row>
    <row r="164">
      <c r="A164" s="10"/>
      <c r="B164" s="10"/>
      <c r="C164" s="10"/>
      <c r="D164" s="10"/>
      <c r="E164" s="10"/>
      <c r="F164" s="120"/>
      <c r="G164" s="120"/>
      <c r="H164" s="120"/>
      <c r="I164" s="10"/>
      <c r="J164" s="6"/>
    </row>
    <row r="165">
      <c r="A165" s="10"/>
      <c r="B165" s="10"/>
      <c r="C165" s="10"/>
      <c r="D165" s="10"/>
      <c r="E165" s="10"/>
      <c r="F165" s="120"/>
      <c r="G165" s="120"/>
      <c r="H165" s="120"/>
      <c r="I165" s="10"/>
      <c r="J165" s="6"/>
    </row>
    <row r="166">
      <c r="A166" s="10"/>
      <c r="B166" s="10"/>
      <c r="C166" s="10"/>
      <c r="D166" s="10"/>
      <c r="E166" s="10"/>
      <c r="F166" s="120"/>
      <c r="G166" s="120"/>
      <c r="H166" s="120"/>
      <c r="I166" s="10"/>
      <c r="J166" s="6"/>
    </row>
    <row r="167">
      <c r="A167" s="10"/>
      <c r="B167" s="10"/>
      <c r="C167" s="10"/>
      <c r="D167" s="10"/>
      <c r="E167" s="10"/>
      <c r="F167" s="120"/>
      <c r="G167" s="120"/>
      <c r="H167" s="120"/>
      <c r="I167" s="10"/>
      <c r="J167" s="6"/>
    </row>
    <row r="168">
      <c r="A168" s="10"/>
      <c r="B168" s="10"/>
      <c r="C168" s="10"/>
      <c r="D168" s="10"/>
      <c r="E168" s="10"/>
      <c r="F168" s="120"/>
      <c r="G168" s="120"/>
      <c r="H168" s="120"/>
      <c r="I168" s="10"/>
      <c r="J168" s="6"/>
    </row>
    <row r="169">
      <c r="A169" s="10"/>
      <c r="B169" s="10"/>
      <c r="C169" s="10"/>
      <c r="D169" s="10"/>
      <c r="E169" s="10"/>
      <c r="F169" s="120"/>
      <c r="G169" s="120"/>
      <c r="H169" s="120"/>
      <c r="I169" s="10"/>
      <c r="J169" s="6"/>
    </row>
    <row r="170">
      <c r="A170" s="10"/>
      <c r="B170" s="10"/>
      <c r="C170" s="10"/>
      <c r="D170" s="10"/>
      <c r="E170" s="10"/>
      <c r="F170" s="120"/>
      <c r="G170" s="120"/>
      <c r="H170" s="120"/>
      <c r="I170" s="10"/>
      <c r="J170" s="6"/>
    </row>
    <row r="171">
      <c r="A171" s="10"/>
      <c r="B171" s="10"/>
      <c r="C171" s="10"/>
      <c r="D171" s="10"/>
      <c r="E171" s="10"/>
      <c r="F171" s="120"/>
      <c r="G171" s="120"/>
      <c r="H171" s="120"/>
      <c r="I171" s="10"/>
      <c r="J171" s="6"/>
    </row>
    <row r="172">
      <c r="A172" s="10"/>
      <c r="B172" s="10"/>
      <c r="C172" s="10"/>
      <c r="D172" s="10"/>
      <c r="E172" s="10"/>
      <c r="F172" s="120"/>
      <c r="G172" s="120"/>
      <c r="H172" s="120"/>
      <c r="I172" s="10"/>
      <c r="J172" s="6"/>
    </row>
    <row r="173">
      <c r="A173" s="10"/>
      <c r="B173" s="10"/>
      <c r="C173" s="10"/>
      <c r="D173" s="10"/>
      <c r="E173" s="10"/>
      <c r="F173" s="120"/>
      <c r="G173" s="120"/>
      <c r="H173" s="120"/>
      <c r="I173" s="10"/>
      <c r="J173" s="6"/>
    </row>
    <row r="174">
      <c r="A174" s="10"/>
      <c r="B174" s="10"/>
      <c r="C174" s="10"/>
      <c r="D174" s="10"/>
      <c r="E174" s="10"/>
      <c r="F174" s="120"/>
      <c r="G174" s="120"/>
      <c r="H174" s="120"/>
      <c r="I174" s="10"/>
      <c r="J174" s="6"/>
    </row>
    <row r="175">
      <c r="A175" s="10"/>
      <c r="B175" s="10"/>
      <c r="C175" s="10"/>
      <c r="D175" s="10"/>
      <c r="E175" s="10"/>
      <c r="F175" s="120"/>
      <c r="G175" s="120"/>
      <c r="H175" s="120"/>
      <c r="I175" s="10"/>
      <c r="J175" s="6"/>
    </row>
    <row r="176">
      <c r="A176" s="10"/>
      <c r="B176" s="10"/>
      <c r="C176" s="10"/>
      <c r="D176" s="10"/>
      <c r="E176" s="10"/>
      <c r="F176" s="120"/>
      <c r="G176" s="120"/>
      <c r="H176" s="120"/>
      <c r="I176" s="10"/>
      <c r="J176" s="6"/>
    </row>
    <row r="177">
      <c r="A177" s="10"/>
      <c r="B177" s="10"/>
      <c r="C177" s="10"/>
      <c r="D177" s="10"/>
      <c r="E177" s="10"/>
      <c r="F177" s="120"/>
      <c r="G177" s="120"/>
      <c r="H177" s="120"/>
      <c r="I177" s="10"/>
      <c r="J177" s="6"/>
    </row>
    <row r="178">
      <c r="A178" s="10"/>
      <c r="B178" s="10"/>
      <c r="C178" s="10"/>
      <c r="D178" s="10"/>
      <c r="E178" s="10"/>
      <c r="F178" s="120"/>
      <c r="G178" s="120"/>
      <c r="H178" s="120"/>
      <c r="I178" s="10"/>
      <c r="J178" s="6"/>
    </row>
    <row r="179">
      <c r="A179" s="10"/>
      <c r="B179" s="10"/>
      <c r="C179" s="10"/>
      <c r="D179" s="10"/>
      <c r="E179" s="10"/>
      <c r="F179" s="120"/>
      <c r="G179" s="120"/>
      <c r="H179" s="120"/>
      <c r="I179" s="10"/>
      <c r="J179" s="6"/>
    </row>
    <row r="180">
      <c r="A180" s="10"/>
      <c r="B180" s="10"/>
      <c r="C180" s="10"/>
      <c r="D180" s="10"/>
      <c r="E180" s="10"/>
      <c r="F180" s="120"/>
      <c r="G180" s="120"/>
      <c r="H180" s="120"/>
      <c r="I180" s="10"/>
      <c r="J180" s="6"/>
    </row>
    <row r="181">
      <c r="A181" s="10"/>
      <c r="B181" s="10"/>
      <c r="C181" s="10"/>
      <c r="D181" s="10"/>
      <c r="E181" s="10"/>
      <c r="F181" s="120"/>
      <c r="G181" s="120"/>
      <c r="H181" s="120"/>
      <c r="I181" s="10"/>
      <c r="J181" s="6"/>
    </row>
    <row r="182">
      <c r="A182" s="10"/>
      <c r="B182" s="10"/>
      <c r="C182" s="10"/>
      <c r="D182" s="10"/>
      <c r="E182" s="10"/>
      <c r="F182" s="120"/>
      <c r="G182" s="120"/>
      <c r="H182" s="120"/>
      <c r="I182" s="10"/>
      <c r="J182" s="6"/>
    </row>
    <row r="183">
      <c r="A183" s="10"/>
      <c r="B183" s="10"/>
      <c r="C183" s="10"/>
      <c r="D183" s="10"/>
      <c r="E183" s="10"/>
      <c r="F183" s="120"/>
      <c r="G183" s="120"/>
      <c r="H183" s="120"/>
      <c r="I183" s="10"/>
      <c r="J183" s="6"/>
    </row>
    <row r="184">
      <c r="A184" s="10"/>
      <c r="B184" s="10"/>
      <c r="C184" s="10"/>
      <c r="D184" s="10"/>
      <c r="E184" s="10"/>
      <c r="F184" s="120"/>
      <c r="G184" s="120"/>
      <c r="H184" s="120"/>
      <c r="I184" s="10"/>
      <c r="J184" s="6"/>
    </row>
    <row r="185">
      <c r="A185" s="10"/>
      <c r="B185" s="10"/>
      <c r="C185" s="10"/>
      <c r="D185" s="10"/>
      <c r="E185" s="10"/>
      <c r="F185" s="120"/>
      <c r="G185" s="120"/>
      <c r="H185" s="120"/>
      <c r="I185" s="10"/>
      <c r="J185" s="6"/>
    </row>
    <row r="186">
      <c r="A186" s="10"/>
      <c r="B186" s="10"/>
      <c r="C186" s="10"/>
      <c r="D186" s="10"/>
      <c r="E186" s="10"/>
      <c r="F186" s="120"/>
      <c r="G186" s="120"/>
      <c r="H186" s="120"/>
      <c r="I186" s="10"/>
      <c r="J186" s="6"/>
    </row>
    <row r="187">
      <c r="A187" s="10"/>
      <c r="B187" s="10"/>
      <c r="C187" s="10"/>
      <c r="D187" s="10"/>
      <c r="E187" s="10"/>
      <c r="F187" s="120"/>
      <c r="G187" s="120"/>
      <c r="H187" s="120"/>
      <c r="I187" s="10"/>
      <c r="J187" s="6"/>
    </row>
    <row r="188">
      <c r="A188" s="10"/>
      <c r="B188" s="10"/>
      <c r="C188" s="10"/>
      <c r="D188" s="10"/>
      <c r="E188" s="10"/>
      <c r="F188" s="120"/>
      <c r="G188" s="120"/>
      <c r="H188" s="120"/>
      <c r="I188" s="10"/>
      <c r="J188" s="6"/>
    </row>
    <row r="189">
      <c r="A189" s="10"/>
      <c r="B189" s="10"/>
      <c r="C189" s="10"/>
      <c r="D189" s="10"/>
      <c r="E189" s="10"/>
      <c r="F189" s="120"/>
      <c r="G189" s="120"/>
      <c r="H189" s="120"/>
      <c r="I189" s="10"/>
      <c r="J189" s="6"/>
    </row>
    <row r="190">
      <c r="A190" s="10"/>
      <c r="B190" s="10"/>
      <c r="C190" s="10"/>
      <c r="D190" s="10"/>
      <c r="E190" s="10"/>
      <c r="F190" s="120"/>
      <c r="G190" s="120"/>
      <c r="H190" s="120"/>
      <c r="I190" s="10"/>
      <c r="J190" s="6"/>
    </row>
    <row r="191">
      <c r="A191" s="10"/>
      <c r="B191" s="10"/>
      <c r="C191" s="10"/>
      <c r="D191" s="10"/>
      <c r="E191" s="10"/>
      <c r="F191" s="120"/>
      <c r="G191" s="120"/>
      <c r="H191" s="120"/>
      <c r="I191" s="10"/>
      <c r="J191" s="6"/>
    </row>
    <row r="192">
      <c r="A192" s="10"/>
      <c r="B192" s="10"/>
      <c r="C192" s="10"/>
      <c r="D192" s="10"/>
      <c r="E192" s="10"/>
      <c r="F192" s="120"/>
      <c r="G192" s="120"/>
      <c r="H192" s="120"/>
      <c r="I192" s="10"/>
      <c r="J192" s="6"/>
    </row>
    <row r="193">
      <c r="A193" s="10"/>
      <c r="B193" s="10"/>
      <c r="C193" s="10"/>
      <c r="D193" s="10"/>
      <c r="E193" s="10"/>
      <c r="F193" s="120"/>
      <c r="G193" s="120"/>
      <c r="H193" s="120"/>
      <c r="I193" s="10"/>
      <c r="J193" s="6"/>
    </row>
    <row r="194">
      <c r="A194" s="10"/>
      <c r="B194" s="10"/>
      <c r="C194" s="10"/>
      <c r="D194" s="10"/>
      <c r="E194" s="10"/>
      <c r="F194" s="120"/>
      <c r="G194" s="120"/>
      <c r="H194" s="120"/>
      <c r="I194" s="10"/>
      <c r="J194" s="6"/>
    </row>
    <row r="195">
      <c r="A195" s="10"/>
      <c r="B195" s="10"/>
      <c r="C195" s="10"/>
      <c r="D195" s="10"/>
      <c r="E195" s="10"/>
      <c r="F195" s="120"/>
      <c r="G195" s="120"/>
      <c r="H195" s="120"/>
      <c r="I195" s="10"/>
      <c r="J195" s="6"/>
    </row>
    <row r="196">
      <c r="A196" s="10"/>
      <c r="B196" s="10"/>
      <c r="C196" s="10"/>
      <c r="D196" s="10"/>
      <c r="E196" s="10"/>
      <c r="F196" s="120"/>
      <c r="G196" s="120"/>
      <c r="H196" s="120"/>
      <c r="I196" s="10"/>
      <c r="J196" s="6"/>
    </row>
    <row r="197">
      <c r="A197" s="10"/>
      <c r="B197" s="10"/>
      <c r="C197" s="10"/>
      <c r="D197" s="10"/>
      <c r="E197" s="10"/>
      <c r="F197" s="120"/>
      <c r="G197" s="120"/>
      <c r="H197" s="120"/>
      <c r="I197" s="10"/>
      <c r="J197" s="6"/>
    </row>
    <row r="198">
      <c r="A198" s="10"/>
      <c r="B198" s="10"/>
      <c r="C198" s="10"/>
      <c r="D198" s="10"/>
      <c r="E198" s="10"/>
      <c r="F198" s="120"/>
      <c r="G198" s="120"/>
      <c r="H198" s="120"/>
      <c r="I198" s="10"/>
      <c r="J198" s="6"/>
    </row>
    <row r="199">
      <c r="A199" s="10"/>
      <c r="B199" s="10"/>
      <c r="C199" s="10"/>
      <c r="D199" s="10"/>
      <c r="E199" s="10"/>
      <c r="F199" s="120"/>
      <c r="G199" s="120"/>
      <c r="H199" s="120"/>
      <c r="I199" s="10"/>
      <c r="J199" s="6"/>
    </row>
    <row r="200">
      <c r="A200" s="10"/>
      <c r="B200" s="10"/>
      <c r="C200" s="10"/>
      <c r="D200" s="10"/>
      <c r="E200" s="10"/>
      <c r="F200" s="120"/>
      <c r="G200" s="120"/>
      <c r="H200" s="120"/>
      <c r="I200" s="10"/>
      <c r="J200" s="6"/>
    </row>
    <row r="201">
      <c r="A201" s="10"/>
      <c r="B201" s="10"/>
      <c r="C201" s="10"/>
      <c r="D201" s="10"/>
      <c r="E201" s="10"/>
      <c r="F201" s="120"/>
      <c r="G201" s="120"/>
      <c r="H201" s="120"/>
      <c r="I201" s="10"/>
      <c r="J201" s="6"/>
    </row>
    <row r="202">
      <c r="A202" s="10"/>
      <c r="B202" s="10"/>
      <c r="C202" s="10"/>
      <c r="D202" s="10"/>
      <c r="E202" s="10"/>
      <c r="F202" s="120"/>
      <c r="G202" s="120"/>
      <c r="H202" s="120"/>
      <c r="I202" s="10"/>
      <c r="J202" s="6"/>
    </row>
    <row r="203">
      <c r="A203" s="10"/>
      <c r="B203" s="10"/>
      <c r="C203" s="10"/>
      <c r="D203" s="10"/>
      <c r="E203" s="10"/>
      <c r="F203" s="120"/>
      <c r="G203" s="120"/>
      <c r="H203" s="120"/>
      <c r="I203" s="10"/>
      <c r="J203" s="6"/>
    </row>
    <row r="204">
      <c r="A204" s="10"/>
      <c r="B204" s="10"/>
      <c r="C204" s="10"/>
      <c r="D204" s="10"/>
      <c r="E204" s="10"/>
      <c r="F204" s="120"/>
      <c r="G204" s="120"/>
      <c r="H204" s="120"/>
      <c r="I204" s="10"/>
      <c r="J204" s="6"/>
    </row>
    <row r="205">
      <c r="A205" s="10"/>
      <c r="B205" s="10"/>
      <c r="C205" s="10"/>
      <c r="D205" s="10"/>
      <c r="E205" s="10"/>
      <c r="F205" s="120"/>
      <c r="G205" s="120"/>
      <c r="H205" s="120"/>
      <c r="I205" s="10"/>
      <c r="J205" s="6"/>
    </row>
    <row r="206">
      <c r="A206" s="10"/>
      <c r="B206" s="10"/>
      <c r="C206" s="10"/>
      <c r="D206" s="10"/>
      <c r="E206" s="10"/>
      <c r="F206" s="120"/>
      <c r="G206" s="120"/>
      <c r="H206" s="120"/>
      <c r="I206" s="10"/>
      <c r="J206" s="6"/>
    </row>
    <row r="207">
      <c r="A207" s="10"/>
      <c r="B207" s="10"/>
      <c r="C207" s="10"/>
      <c r="D207" s="10"/>
      <c r="E207" s="10"/>
      <c r="F207" s="120"/>
      <c r="G207" s="120"/>
      <c r="H207" s="120"/>
      <c r="I207" s="10"/>
      <c r="J207" s="6"/>
    </row>
    <row r="208">
      <c r="A208" s="10"/>
      <c r="B208" s="10"/>
      <c r="C208" s="10"/>
      <c r="D208" s="10"/>
      <c r="E208" s="10"/>
      <c r="F208" s="120"/>
      <c r="G208" s="120"/>
      <c r="H208" s="120"/>
      <c r="I208" s="10"/>
      <c r="J208" s="6"/>
    </row>
    <row r="209">
      <c r="A209" s="10"/>
      <c r="B209" s="10"/>
      <c r="C209" s="10"/>
      <c r="D209" s="10"/>
      <c r="E209" s="10"/>
      <c r="F209" s="120"/>
      <c r="G209" s="120"/>
      <c r="H209" s="120"/>
      <c r="I209" s="10"/>
      <c r="J209" s="6"/>
    </row>
    <row r="210">
      <c r="A210" s="10"/>
      <c r="B210" s="10"/>
      <c r="C210" s="10"/>
      <c r="D210" s="10"/>
      <c r="E210" s="10"/>
      <c r="F210" s="120"/>
      <c r="G210" s="120"/>
      <c r="H210" s="120"/>
      <c r="I210" s="10"/>
      <c r="J210" s="6"/>
    </row>
    <row r="211">
      <c r="A211" s="10"/>
      <c r="B211" s="10"/>
      <c r="C211" s="10"/>
      <c r="D211" s="10"/>
      <c r="E211" s="10"/>
      <c r="F211" s="120"/>
      <c r="G211" s="120"/>
      <c r="H211" s="120"/>
      <c r="I211" s="10"/>
      <c r="J211" s="6"/>
    </row>
    <row r="212">
      <c r="A212" s="10"/>
      <c r="B212" s="10"/>
      <c r="C212" s="10"/>
      <c r="D212" s="10"/>
      <c r="E212" s="10"/>
      <c r="F212" s="120"/>
      <c r="G212" s="120"/>
      <c r="H212" s="120"/>
      <c r="I212" s="10"/>
      <c r="J212" s="6"/>
    </row>
    <row r="213">
      <c r="A213" s="10"/>
      <c r="B213" s="10"/>
      <c r="C213" s="10"/>
      <c r="D213" s="10"/>
      <c r="E213" s="10"/>
      <c r="F213" s="120"/>
      <c r="G213" s="120"/>
      <c r="H213" s="120"/>
      <c r="I213" s="10"/>
      <c r="J213" s="6"/>
    </row>
    <row r="214">
      <c r="A214" s="10"/>
      <c r="B214" s="10"/>
      <c r="C214" s="10"/>
      <c r="D214" s="10"/>
      <c r="E214" s="10"/>
      <c r="F214" s="120"/>
      <c r="G214" s="120"/>
      <c r="H214" s="120"/>
      <c r="I214" s="10"/>
      <c r="J214" s="6"/>
    </row>
    <row r="215">
      <c r="A215" s="10"/>
      <c r="B215" s="10"/>
      <c r="C215" s="10"/>
      <c r="D215" s="10"/>
      <c r="E215" s="10"/>
      <c r="F215" s="120"/>
      <c r="G215" s="120"/>
      <c r="H215" s="120"/>
      <c r="I215" s="10"/>
      <c r="J215" s="6"/>
    </row>
    <row r="216">
      <c r="A216" s="10"/>
      <c r="B216" s="10"/>
      <c r="C216" s="10"/>
      <c r="D216" s="10"/>
      <c r="E216" s="10"/>
      <c r="F216" s="120"/>
      <c r="G216" s="120"/>
      <c r="H216" s="120"/>
      <c r="I216" s="10"/>
      <c r="J216" s="6"/>
    </row>
    <row r="217">
      <c r="A217" s="10"/>
      <c r="B217" s="10"/>
      <c r="C217" s="10"/>
      <c r="D217" s="10"/>
      <c r="E217" s="10"/>
      <c r="F217" s="120"/>
      <c r="G217" s="120"/>
      <c r="H217" s="120"/>
      <c r="I217" s="10"/>
      <c r="J217" s="6"/>
    </row>
    <row r="218">
      <c r="A218" s="10"/>
      <c r="B218" s="10"/>
      <c r="C218" s="10"/>
      <c r="D218" s="10"/>
      <c r="E218" s="10"/>
      <c r="F218" s="120"/>
      <c r="G218" s="120"/>
      <c r="H218" s="120"/>
      <c r="I218" s="10"/>
      <c r="J218" s="6"/>
    </row>
    <row r="219">
      <c r="A219" s="10"/>
      <c r="B219" s="10"/>
      <c r="C219" s="10"/>
      <c r="D219" s="10"/>
      <c r="E219" s="10"/>
      <c r="F219" s="120"/>
      <c r="G219" s="120"/>
      <c r="H219" s="120"/>
      <c r="I219" s="10"/>
      <c r="J219" s="6"/>
    </row>
    <row r="220">
      <c r="A220" s="10"/>
      <c r="B220" s="10"/>
      <c r="C220" s="10"/>
      <c r="D220" s="10"/>
      <c r="E220" s="10"/>
      <c r="F220" s="120"/>
      <c r="G220" s="120"/>
      <c r="H220" s="120"/>
      <c r="I220" s="10"/>
      <c r="J220" s="6"/>
    </row>
    <row r="221">
      <c r="A221" s="10"/>
      <c r="B221" s="10"/>
      <c r="C221" s="10"/>
      <c r="D221" s="10"/>
      <c r="E221" s="10"/>
      <c r="F221" s="120"/>
      <c r="G221" s="120"/>
      <c r="H221" s="120"/>
      <c r="I221" s="10"/>
      <c r="J221" s="6"/>
    </row>
    <row r="222">
      <c r="A222" s="10"/>
      <c r="B222" s="10"/>
      <c r="C222" s="10"/>
      <c r="D222" s="10"/>
      <c r="E222" s="10"/>
      <c r="F222" s="120"/>
      <c r="G222" s="120"/>
      <c r="H222" s="120"/>
      <c r="I222" s="10"/>
      <c r="J222" s="6"/>
    </row>
    <row r="223">
      <c r="A223" s="10"/>
      <c r="B223" s="10"/>
      <c r="C223" s="10"/>
      <c r="D223" s="10"/>
      <c r="E223" s="10"/>
      <c r="F223" s="120"/>
      <c r="G223" s="120"/>
      <c r="H223" s="120"/>
      <c r="I223" s="10"/>
      <c r="J223" s="6"/>
    </row>
    <row r="224">
      <c r="A224" s="10"/>
      <c r="B224" s="10"/>
      <c r="C224" s="10"/>
      <c r="D224" s="10"/>
      <c r="E224" s="10"/>
      <c r="F224" s="120"/>
      <c r="G224" s="120"/>
      <c r="H224" s="120"/>
      <c r="I224" s="10"/>
      <c r="J224" s="6"/>
    </row>
    <row r="225">
      <c r="A225" s="10"/>
      <c r="B225" s="10"/>
      <c r="C225" s="10"/>
      <c r="D225" s="10"/>
      <c r="E225" s="10"/>
      <c r="F225" s="120"/>
      <c r="G225" s="120"/>
      <c r="H225" s="120"/>
      <c r="I225" s="10"/>
      <c r="J225" s="6"/>
    </row>
    <row r="226">
      <c r="A226" s="10"/>
      <c r="B226" s="10"/>
      <c r="C226" s="10"/>
      <c r="D226" s="10"/>
      <c r="E226" s="10"/>
      <c r="F226" s="120"/>
      <c r="G226" s="120"/>
      <c r="H226" s="120"/>
      <c r="I226" s="10"/>
      <c r="J226" s="6"/>
    </row>
    <row r="227">
      <c r="A227" s="10"/>
      <c r="B227" s="10"/>
      <c r="C227" s="10"/>
      <c r="D227" s="10"/>
      <c r="E227" s="10"/>
      <c r="F227" s="120"/>
      <c r="G227" s="120"/>
      <c r="H227" s="120"/>
      <c r="I227" s="10"/>
      <c r="J227" s="6"/>
    </row>
    <row r="228">
      <c r="A228" s="10"/>
      <c r="B228" s="10"/>
      <c r="C228" s="10"/>
      <c r="D228" s="10"/>
      <c r="E228" s="10"/>
      <c r="F228" s="120"/>
      <c r="G228" s="120"/>
      <c r="H228" s="120"/>
      <c r="I228" s="10"/>
      <c r="J228" s="6"/>
    </row>
    <row r="229">
      <c r="A229" s="10"/>
      <c r="B229" s="10"/>
      <c r="C229" s="10"/>
      <c r="D229" s="10"/>
      <c r="E229" s="10"/>
      <c r="F229" s="120"/>
      <c r="G229" s="120"/>
      <c r="H229" s="120"/>
      <c r="I229" s="10"/>
      <c r="J229" s="6"/>
    </row>
    <row r="230">
      <c r="A230" s="10"/>
      <c r="B230" s="10"/>
      <c r="C230" s="10"/>
      <c r="D230" s="10"/>
      <c r="E230" s="10"/>
      <c r="F230" s="120"/>
      <c r="G230" s="120"/>
      <c r="H230" s="120"/>
      <c r="I230" s="10"/>
      <c r="J230" s="6"/>
    </row>
    <row r="231">
      <c r="A231" s="10"/>
      <c r="B231" s="10"/>
      <c r="C231" s="10"/>
      <c r="D231" s="10"/>
      <c r="E231" s="10"/>
      <c r="F231" s="120"/>
      <c r="G231" s="120"/>
      <c r="H231" s="120"/>
      <c r="I231" s="10"/>
      <c r="J231" s="6"/>
    </row>
    <row r="232">
      <c r="A232" s="10"/>
      <c r="B232" s="10"/>
      <c r="C232" s="10"/>
      <c r="D232" s="10"/>
      <c r="E232" s="10"/>
      <c r="F232" s="120"/>
      <c r="G232" s="120"/>
      <c r="H232" s="120"/>
      <c r="I232" s="10"/>
      <c r="J232" s="6"/>
    </row>
    <row r="233">
      <c r="A233" s="10"/>
      <c r="B233" s="10"/>
      <c r="C233" s="10"/>
      <c r="D233" s="10"/>
      <c r="E233" s="10"/>
      <c r="F233" s="120"/>
      <c r="G233" s="120"/>
      <c r="H233" s="120"/>
      <c r="I233" s="10"/>
      <c r="J233" s="6"/>
    </row>
    <row r="234">
      <c r="A234" s="10"/>
      <c r="B234" s="10"/>
      <c r="C234" s="10"/>
      <c r="D234" s="10"/>
      <c r="E234" s="10"/>
      <c r="F234" s="120"/>
      <c r="G234" s="120"/>
      <c r="H234" s="120"/>
      <c r="I234" s="10"/>
      <c r="J234" s="6"/>
    </row>
    <row r="235">
      <c r="A235" s="10"/>
      <c r="B235" s="10"/>
      <c r="C235" s="10"/>
      <c r="D235" s="10"/>
      <c r="E235" s="10"/>
      <c r="F235" s="120"/>
      <c r="G235" s="120"/>
      <c r="H235" s="120"/>
      <c r="I235" s="10"/>
      <c r="J235" s="6"/>
    </row>
    <row r="236">
      <c r="A236" s="10"/>
      <c r="B236" s="10"/>
      <c r="C236" s="10"/>
      <c r="D236" s="10"/>
      <c r="E236" s="10"/>
      <c r="F236" s="120"/>
      <c r="G236" s="120"/>
      <c r="H236" s="120"/>
      <c r="I236" s="10"/>
      <c r="J236" s="6"/>
    </row>
    <row r="237">
      <c r="A237" s="10"/>
      <c r="B237" s="10"/>
      <c r="C237" s="10"/>
      <c r="D237" s="10"/>
      <c r="E237" s="10"/>
      <c r="F237" s="120"/>
      <c r="G237" s="120"/>
      <c r="H237" s="120"/>
      <c r="I237" s="10"/>
      <c r="J237" s="6"/>
    </row>
    <row r="238">
      <c r="A238" s="10"/>
      <c r="B238" s="10"/>
      <c r="C238" s="10"/>
      <c r="D238" s="10"/>
      <c r="E238" s="10"/>
      <c r="F238" s="120"/>
      <c r="G238" s="120"/>
      <c r="H238" s="120"/>
      <c r="I238" s="10"/>
      <c r="J238" s="6"/>
    </row>
    <row r="239">
      <c r="A239" s="10"/>
      <c r="B239" s="10"/>
      <c r="C239" s="10"/>
      <c r="D239" s="10"/>
      <c r="E239" s="10"/>
      <c r="F239" s="120"/>
      <c r="G239" s="120"/>
      <c r="H239" s="120"/>
      <c r="I239" s="10"/>
      <c r="J239" s="6"/>
    </row>
    <row r="240">
      <c r="A240" s="10"/>
      <c r="B240" s="10"/>
      <c r="C240" s="10"/>
      <c r="D240" s="10"/>
      <c r="E240" s="10"/>
      <c r="F240" s="120"/>
      <c r="G240" s="120"/>
      <c r="H240" s="120"/>
      <c r="I240" s="10"/>
      <c r="J240" s="6"/>
    </row>
    <row r="241">
      <c r="A241" s="10"/>
      <c r="B241" s="10"/>
      <c r="C241" s="10"/>
      <c r="D241" s="10"/>
      <c r="E241" s="10"/>
      <c r="F241" s="120"/>
      <c r="G241" s="120"/>
      <c r="H241" s="120"/>
      <c r="I241" s="10"/>
      <c r="J241" s="6"/>
    </row>
    <row r="242">
      <c r="A242" s="10"/>
      <c r="B242" s="10"/>
      <c r="C242" s="10"/>
      <c r="D242" s="10"/>
      <c r="E242" s="10"/>
      <c r="F242" s="120"/>
      <c r="G242" s="120"/>
      <c r="H242" s="120"/>
      <c r="I242" s="10"/>
      <c r="J242" s="6"/>
    </row>
    <row r="243">
      <c r="A243" s="10"/>
      <c r="B243" s="10"/>
      <c r="C243" s="10"/>
      <c r="D243" s="10"/>
      <c r="E243" s="10"/>
      <c r="F243" s="120"/>
      <c r="G243" s="120"/>
      <c r="H243" s="120"/>
      <c r="I243" s="10"/>
      <c r="J243" s="6"/>
    </row>
    <row r="244">
      <c r="A244" s="10"/>
      <c r="B244" s="10"/>
      <c r="C244" s="10"/>
      <c r="D244" s="10"/>
      <c r="E244" s="10"/>
      <c r="F244" s="120"/>
      <c r="G244" s="120"/>
      <c r="H244" s="120"/>
      <c r="I244" s="10"/>
      <c r="J244" s="6"/>
    </row>
    <row r="245">
      <c r="A245" s="10"/>
      <c r="B245" s="10"/>
      <c r="C245" s="10"/>
      <c r="D245" s="10"/>
      <c r="E245" s="10"/>
      <c r="F245" s="120"/>
      <c r="G245" s="120"/>
      <c r="H245" s="120"/>
      <c r="I245" s="10"/>
      <c r="J245" s="6"/>
    </row>
    <row r="246">
      <c r="A246" s="10"/>
      <c r="B246" s="10"/>
      <c r="C246" s="10"/>
      <c r="D246" s="10"/>
      <c r="E246" s="10"/>
      <c r="F246" s="120"/>
      <c r="G246" s="120"/>
      <c r="H246" s="120"/>
      <c r="I246" s="10"/>
      <c r="J246" s="6"/>
    </row>
    <row r="247">
      <c r="A247" s="10"/>
      <c r="B247" s="10"/>
      <c r="C247" s="10"/>
      <c r="D247" s="10"/>
      <c r="E247" s="10"/>
      <c r="F247" s="120"/>
      <c r="G247" s="120"/>
      <c r="H247" s="120"/>
      <c r="I247" s="10"/>
      <c r="J247" s="6"/>
    </row>
    <row r="248">
      <c r="A248" s="10"/>
      <c r="B248" s="10"/>
      <c r="C248" s="10"/>
      <c r="D248" s="10"/>
      <c r="E248" s="10"/>
      <c r="F248" s="120"/>
      <c r="G248" s="120"/>
      <c r="H248" s="120"/>
      <c r="I248" s="10"/>
      <c r="J248" s="6"/>
    </row>
    <row r="249">
      <c r="A249" s="10"/>
      <c r="B249" s="10"/>
      <c r="C249" s="10"/>
      <c r="D249" s="10"/>
      <c r="E249" s="10"/>
      <c r="F249" s="120"/>
      <c r="G249" s="120"/>
      <c r="H249" s="120"/>
      <c r="I249" s="10"/>
      <c r="J249" s="6"/>
    </row>
    <row r="250">
      <c r="A250" s="10"/>
      <c r="B250" s="10"/>
      <c r="C250" s="10"/>
      <c r="D250" s="10"/>
      <c r="E250" s="10"/>
      <c r="F250" s="120"/>
      <c r="G250" s="120"/>
      <c r="H250" s="120"/>
      <c r="I250" s="10"/>
      <c r="J250" s="6"/>
    </row>
    <row r="251">
      <c r="A251" s="10"/>
      <c r="B251" s="10"/>
      <c r="C251" s="10"/>
      <c r="D251" s="10"/>
      <c r="E251" s="10"/>
      <c r="F251" s="120"/>
      <c r="G251" s="120"/>
      <c r="H251" s="120"/>
      <c r="I251" s="10"/>
      <c r="J251" s="6"/>
    </row>
    <row r="252">
      <c r="A252" s="10"/>
      <c r="B252" s="10"/>
      <c r="C252" s="10"/>
      <c r="D252" s="10"/>
      <c r="E252" s="10"/>
      <c r="F252" s="120"/>
      <c r="G252" s="120"/>
      <c r="H252" s="120"/>
      <c r="I252" s="10"/>
      <c r="J252" s="6"/>
    </row>
    <row r="253">
      <c r="A253" s="10"/>
      <c r="B253" s="10"/>
      <c r="C253" s="10"/>
      <c r="D253" s="10"/>
      <c r="E253" s="10"/>
      <c r="F253" s="120"/>
      <c r="G253" s="120"/>
      <c r="H253" s="120"/>
      <c r="I253" s="10"/>
      <c r="J253" s="6"/>
    </row>
    <row r="254">
      <c r="A254" s="10"/>
      <c r="B254" s="10"/>
      <c r="C254" s="10"/>
      <c r="D254" s="10"/>
      <c r="E254" s="10"/>
      <c r="F254" s="120"/>
      <c r="G254" s="120"/>
      <c r="H254" s="120"/>
      <c r="I254" s="10"/>
      <c r="J254" s="6"/>
    </row>
    <row r="255">
      <c r="A255" s="10"/>
      <c r="B255" s="10"/>
      <c r="C255" s="10"/>
      <c r="D255" s="10"/>
      <c r="E255" s="10"/>
      <c r="F255" s="120"/>
      <c r="G255" s="120"/>
      <c r="H255" s="120"/>
      <c r="I255" s="10"/>
      <c r="J255" s="6"/>
    </row>
    <row r="256">
      <c r="A256" s="10"/>
      <c r="B256" s="10"/>
      <c r="C256" s="10"/>
      <c r="D256" s="10"/>
      <c r="E256" s="10"/>
      <c r="F256" s="120"/>
      <c r="G256" s="120"/>
      <c r="H256" s="120"/>
      <c r="I256" s="10"/>
      <c r="J256" s="6"/>
    </row>
    <row r="257">
      <c r="A257" s="10"/>
      <c r="B257" s="10"/>
      <c r="C257" s="10"/>
      <c r="D257" s="10"/>
      <c r="E257" s="10"/>
      <c r="F257" s="120"/>
      <c r="G257" s="120"/>
      <c r="H257" s="120"/>
      <c r="I257" s="10"/>
      <c r="J257" s="6"/>
    </row>
    <row r="258">
      <c r="A258" s="10"/>
      <c r="B258" s="10"/>
      <c r="C258" s="10"/>
      <c r="D258" s="10"/>
      <c r="E258" s="10"/>
      <c r="F258" s="120"/>
      <c r="G258" s="120"/>
      <c r="H258" s="120"/>
      <c r="I258" s="10"/>
      <c r="J258" s="6"/>
    </row>
    <row r="259">
      <c r="A259" s="10"/>
      <c r="B259" s="10"/>
      <c r="C259" s="10"/>
      <c r="D259" s="10"/>
      <c r="E259" s="10"/>
      <c r="F259" s="120"/>
      <c r="G259" s="120"/>
      <c r="H259" s="120"/>
      <c r="I259" s="10"/>
      <c r="J259" s="6"/>
    </row>
    <row r="260">
      <c r="A260" s="10"/>
      <c r="B260" s="10"/>
      <c r="C260" s="10"/>
      <c r="D260" s="10"/>
      <c r="E260" s="10"/>
      <c r="F260" s="120"/>
      <c r="G260" s="120"/>
      <c r="H260" s="120"/>
      <c r="I260" s="10"/>
      <c r="J260" s="6"/>
    </row>
    <row r="261">
      <c r="A261" s="10"/>
      <c r="B261" s="10"/>
      <c r="C261" s="10"/>
      <c r="D261" s="10"/>
      <c r="E261" s="10"/>
      <c r="F261" s="120"/>
      <c r="G261" s="120"/>
      <c r="H261" s="120"/>
      <c r="I261" s="10"/>
      <c r="J261" s="6"/>
    </row>
    <row r="262">
      <c r="A262" s="10"/>
      <c r="B262" s="10"/>
      <c r="C262" s="10"/>
      <c r="D262" s="10"/>
      <c r="E262" s="10"/>
      <c r="F262" s="120"/>
      <c r="G262" s="120"/>
      <c r="H262" s="120"/>
      <c r="I262" s="10"/>
      <c r="J262" s="6"/>
    </row>
    <row r="263">
      <c r="A263" s="10"/>
      <c r="B263" s="10"/>
      <c r="C263" s="10"/>
      <c r="D263" s="10"/>
      <c r="E263" s="10"/>
      <c r="F263" s="120"/>
      <c r="G263" s="120"/>
      <c r="H263" s="120"/>
      <c r="I263" s="10"/>
      <c r="J263" s="6"/>
    </row>
    <row r="264">
      <c r="A264" s="10"/>
      <c r="B264" s="10"/>
      <c r="C264" s="10"/>
      <c r="D264" s="10"/>
      <c r="E264" s="10"/>
      <c r="F264" s="120"/>
      <c r="G264" s="120"/>
      <c r="H264" s="120"/>
      <c r="I264" s="10"/>
      <c r="J264" s="6"/>
    </row>
    <row r="265">
      <c r="A265" s="10"/>
      <c r="B265" s="10"/>
      <c r="C265" s="10"/>
      <c r="D265" s="10"/>
      <c r="E265" s="10"/>
      <c r="F265" s="120"/>
      <c r="G265" s="120"/>
      <c r="H265" s="120"/>
      <c r="I265" s="10"/>
      <c r="J265" s="6"/>
    </row>
    <row r="266">
      <c r="A266" s="10"/>
      <c r="B266" s="10"/>
      <c r="C266" s="10"/>
      <c r="D266" s="10"/>
      <c r="E266" s="10"/>
      <c r="F266" s="120"/>
      <c r="G266" s="120"/>
      <c r="H266" s="120"/>
      <c r="I266" s="10"/>
      <c r="J266" s="6"/>
    </row>
    <row r="267">
      <c r="A267" s="10"/>
      <c r="B267" s="10"/>
      <c r="C267" s="10"/>
      <c r="D267" s="10"/>
      <c r="E267" s="10"/>
      <c r="F267" s="120"/>
      <c r="G267" s="120"/>
      <c r="H267" s="120"/>
      <c r="I267" s="10"/>
      <c r="J267" s="6"/>
    </row>
    <row r="268">
      <c r="A268" s="10"/>
      <c r="B268" s="10"/>
      <c r="C268" s="10"/>
      <c r="D268" s="10"/>
      <c r="E268" s="10"/>
      <c r="F268" s="120"/>
      <c r="G268" s="120"/>
      <c r="H268" s="120"/>
      <c r="I268" s="10"/>
      <c r="J268" s="6"/>
    </row>
    <row r="269">
      <c r="A269" s="10"/>
      <c r="B269" s="10"/>
      <c r="C269" s="10"/>
      <c r="D269" s="10"/>
      <c r="E269" s="10"/>
      <c r="F269" s="120"/>
      <c r="G269" s="120"/>
      <c r="H269" s="120"/>
      <c r="I269" s="10"/>
      <c r="J269" s="6"/>
    </row>
    <row r="270">
      <c r="A270" s="10"/>
      <c r="B270" s="10"/>
      <c r="C270" s="10"/>
      <c r="D270" s="10"/>
      <c r="E270" s="10"/>
      <c r="F270" s="120"/>
      <c r="G270" s="120"/>
      <c r="H270" s="120"/>
      <c r="I270" s="10"/>
      <c r="J270" s="6"/>
    </row>
    <row r="271">
      <c r="A271" s="10"/>
      <c r="B271" s="10"/>
      <c r="C271" s="10"/>
      <c r="D271" s="10"/>
      <c r="E271" s="10"/>
      <c r="F271" s="120"/>
      <c r="G271" s="120"/>
      <c r="H271" s="120"/>
      <c r="I271" s="10"/>
      <c r="J271" s="6"/>
    </row>
    <row r="272">
      <c r="A272" s="10"/>
      <c r="B272" s="10"/>
      <c r="C272" s="10"/>
      <c r="D272" s="10"/>
      <c r="E272" s="10"/>
      <c r="F272" s="120"/>
      <c r="G272" s="120"/>
      <c r="H272" s="120"/>
      <c r="I272" s="10"/>
      <c r="J272" s="6"/>
    </row>
    <row r="273">
      <c r="A273" s="10"/>
      <c r="B273" s="10"/>
      <c r="C273" s="10"/>
      <c r="D273" s="10"/>
      <c r="E273" s="10"/>
      <c r="F273" s="120"/>
      <c r="G273" s="120"/>
      <c r="H273" s="120"/>
      <c r="I273" s="10"/>
      <c r="J273" s="6"/>
    </row>
    <row r="274">
      <c r="A274" s="10"/>
      <c r="B274" s="10"/>
      <c r="C274" s="10"/>
      <c r="D274" s="10"/>
      <c r="E274" s="10"/>
      <c r="F274" s="120"/>
      <c r="G274" s="120"/>
      <c r="H274" s="120"/>
      <c r="I274" s="10"/>
      <c r="J274" s="6"/>
    </row>
    <row r="275">
      <c r="A275" s="10"/>
      <c r="B275" s="10"/>
      <c r="C275" s="10"/>
      <c r="D275" s="10"/>
      <c r="E275" s="10"/>
      <c r="F275" s="120"/>
      <c r="G275" s="120"/>
      <c r="H275" s="120"/>
      <c r="I275" s="10"/>
      <c r="J275" s="6"/>
    </row>
    <row r="276">
      <c r="A276" s="10"/>
      <c r="B276" s="10"/>
      <c r="C276" s="10"/>
      <c r="D276" s="10"/>
      <c r="E276" s="10"/>
      <c r="F276" s="120"/>
      <c r="G276" s="120"/>
      <c r="H276" s="120"/>
      <c r="I276" s="10"/>
      <c r="J276" s="6"/>
    </row>
    <row r="277">
      <c r="A277" s="10"/>
      <c r="B277" s="10"/>
      <c r="C277" s="10"/>
      <c r="D277" s="10"/>
      <c r="E277" s="10"/>
      <c r="F277" s="120"/>
      <c r="G277" s="120"/>
      <c r="H277" s="120"/>
      <c r="I277" s="10"/>
      <c r="J277" s="6"/>
    </row>
    <row r="278">
      <c r="A278" s="10"/>
      <c r="B278" s="10"/>
      <c r="C278" s="10"/>
      <c r="D278" s="10"/>
      <c r="E278" s="10"/>
      <c r="F278" s="120"/>
      <c r="G278" s="120"/>
      <c r="H278" s="120"/>
      <c r="I278" s="10"/>
      <c r="J278" s="6"/>
    </row>
    <row r="279">
      <c r="A279" s="10"/>
      <c r="B279" s="10"/>
      <c r="C279" s="10"/>
      <c r="D279" s="10"/>
      <c r="E279" s="10"/>
      <c r="F279" s="120"/>
      <c r="G279" s="120"/>
      <c r="H279" s="120"/>
      <c r="I279" s="10"/>
      <c r="J279" s="6"/>
    </row>
    <row r="280">
      <c r="A280" s="10"/>
      <c r="B280" s="10"/>
      <c r="C280" s="10"/>
      <c r="D280" s="10"/>
      <c r="E280" s="10"/>
      <c r="F280" s="120"/>
      <c r="G280" s="120"/>
      <c r="H280" s="120"/>
      <c r="I280" s="10"/>
      <c r="J280" s="6"/>
    </row>
    <row r="281">
      <c r="A281" s="10"/>
      <c r="B281" s="10"/>
      <c r="C281" s="10"/>
      <c r="D281" s="10"/>
      <c r="E281" s="10"/>
      <c r="F281" s="120"/>
      <c r="G281" s="120"/>
      <c r="H281" s="120"/>
      <c r="I281" s="10"/>
      <c r="J281" s="6"/>
    </row>
    <row r="282">
      <c r="A282" s="10"/>
      <c r="B282" s="10"/>
      <c r="C282" s="10"/>
      <c r="D282" s="10"/>
      <c r="E282" s="10"/>
      <c r="F282" s="120"/>
      <c r="G282" s="120"/>
      <c r="H282" s="120"/>
      <c r="I282" s="10"/>
      <c r="J282" s="6"/>
    </row>
    <row r="283">
      <c r="A283" s="10"/>
      <c r="B283" s="10"/>
      <c r="C283" s="10"/>
      <c r="D283" s="10"/>
      <c r="E283" s="10"/>
      <c r="F283" s="120"/>
      <c r="G283" s="120"/>
      <c r="H283" s="120"/>
      <c r="I283" s="10"/>
      <c r="J283" s="6"/>
    </row>
    <row r="284">
      <c r="A284" s="10"/>
      <c r="B284" s="10"/>
      <c r="C284" s="10"/>
      <c r="D284" s="10"/>
      <c r="E284" s="10"/>
      <c r="F284" s="120"/>
      <c r="G284" s="120"/>
      <c r="H284" s="120"/>
      <c r="I284" s="10"/>
      <c r="J284" s="6"/>
    </row>
    <row r="285">
      <c r="A285" s="10"/>
      <c r="B285" s="10"/>
      <c r="C285" s="10"/>
      <c r="D285" s="10"/>
      <c r="E285" s="10"/>
      <c r="F285" s="120"/>
      <c r="G285" s="120"/>
      <c r="H285" s="120"/>
      <c r="I285" s="10"/>
      <c r="J285" s="6"/>
    </row>
    <row r="286">
      <c r="A286" s="10"/>
      <c r="B286" s="10"/>
      <c r="C286" s="10"/>
      <c r="D286" s="10"/>
      <c r="E286" s="10"/>
      <c r="F286" s="120"/>
      <c r="G286" s="120"/>
      <c r="H286" s="120"/>
      <c r="I286" s="10"/>
      <c r="J286" s="6"/>
    </row>
    <row r="287">
      <c r="A287" s="10"/>
      <c r="B287" s="10"/>
      <c r="C287" s="10"/>
      <c r="D287" s="10"/>
      <c r="E287" s="10"/>
      <c r="F287" s="120"/>
      <c r="G287" s="120"/>
      <c r="H287" s="120"/>
      <c r="I287" s="10"/>
      <c r="J287" s="6"/>
    </row>
    <row r="288">
      <c r="A288" s="10"/>
      <c r="B288" s="10"/>
      <c r="C288" s="10"/>
      <c r="D288" s="10"/>
      <c r="E288" s="10"/>
      <c r="F288" s="120"/>
      <c r="G288" s="120"/>
      <c r="H288" s="120"/>
      <c r="I288" s="10"/>
      <c r="J288" s="6"/>
    </row>
    <row r="289">
      <c r="A289" s="10"/>
      <c r="B289" s="10"/>
      <c r="C289" s="10"/>
      <c r="D289" s="10"/>
      <c r="E289" s="10"/>
      <c r="F289" s="120"/>
      <c r="G289" s="120"/>
      <c r="H289" s="120"/>
      <c r="I289" s="10"/>
      <c r="J289" s="6"/>
    </row>
    <row r="290">
      <c r="A290" s="10"/>
      <c r="B290" s="10"/>
      <c r="C290" s="10"/>
      <c r="D290" s="10"/>
      <c r="E290" s="10"/>
      <c r="F290" s="120"/>
      <c r="G290" s="120"/>
      <c r="H290" s="120"/>
      <c r="I290" s="10"/>
      <c r="J290" s="6"/>
    </row>
    <row r="291">
      <c r="A291" s="10"/>
      <c r="B291" s="10"/>
      <c r="C291" s="10"/>
      <c r="D291" s="10"/>
      <c r="E291" s="10"/>
      <c r="F291" s="120"/>
      <c r="G291" s="120"/>
      <c r="H291" s="120"/>
      <c r="I291" s="10"/>
      <c r="J291" s="6"/>
    </row>
    <row r="292">
      <c r="A292" s="10"/>
      <c r="B292" s="10"/>
      <c r="C292" s="10"/>
      <c r="D292" s="10"/>
      <c r="E292" s="10"/>
      <c r="F292" s="120"/>
      <c r="G292" s="120"/>
      <c r="H292" s="120"/>
      <c r="I292" s="10"/>
      <c r="J292" s="6"/>
    </row>
    <row r="293">
      <c r="A293" s="10"/>
      <c r="B293" s="10"/>
      <c r="C293" s="10"/>
      <c r="D293" s="10"/>
      <c r="E293" s="10"/>
      <c r="F293" s="120"/>
      <c r="G293" s="120"/>
      <c r="H293" s="120"/>
      <c r="I293" s="10"/>
      <c r="J293" s="6"/>
    </row>
    <row r="294">
      <c r="A294" s="10"/>
      <c r="B294" s="10"/>
      <c r="C294" s="10"/>
      <c r="D294" s="10"/>
      <c r="E294" s="10"/>
      <c r="F294" s="120"/>
      <c r="G294" s="120"/>
      <c r="H294" s="120"/>
      <c r="I294" s="10"/>
      <c r="J294" s="6"/>
    </row>
    <row r="295">
      <c r="A295" s="10"/>
      <c r="B295" s="10"/>
      <c r="C295" s="10"/>
      <c r="D295" s="10"/>
      <c r="E295" s="10"/>
      <c r="F295" s="120"/>
      <c r="G295" s="120"/>
      <c r="H295" s="120"/>
      <c r="I295" s="10"/>
      <c r="J295" s="6"/>
    </row>
    <row r="296">
      <c r="A296" s="10"/>
      <c r="B296" s="10"/>
      <c r="C296" s="10"/>
      <c r="D296" s="10"/>
      <c r="E296" s="10"/>
      <c r="F296" s="120"/>
      <c r="G296" s="120"/>
      <c r="H296" s="120"/>
      <c r="I296" s="10"/>
      <c r="J296" s="6"/>
    </row>
    <row r="297">
      <c r="A297" s="10"/>
      <c r="B297" s="10"/>
      <c r="C297" s="10"/>
      <c r="D297" s="10"/>
      <c r="E297" s="10"/>
      <c r="F297" s="120"/>
      <c r="G297" s="120"/>
      <c r="H297" s="120"/>
      <c r="I297" s="10"/>
      <c r="J297" s="6"/>
    </row>
    <row r="298">
      <c r="A298" s="10"/>
      <c r="B298" s="10"/>
      <c r="C298" s="10"/>
      <c r="D298" s="10"/>
      <c r="E298" s="10"/>
      <c r="F298" s="120"/>
      <c r="G298" s="120"/>
      <c r="H298" s="120"/>
      <c r="I298" s="10"/>
      <c r="J298" s="6"/>
    </row>
    <row r="299">
      <c r="A299" s="10"/>
      <c r="B299" s="10"/>
      <c r="C299" s="10"/>
      <c r="D299" s="10"/>
      <c r="E299" s="10"/>
      <c r="F299" s="120"/>
      <c r="G299" s="120"/>
      <c r="H299" s="120"/>
      <c r="I299" s="10"/>
      <c r="J299" s="6"/>
    </row>
    <row r="300">
      <c r="A300" s="10"/>
      <c r="B300" s="10"/>
      <c r="C300" s="10"/>
      <c r="D300" s="10"/>
      <c r="E300" s="10"/>
      <c r="F300" s="120"/>
      <c r="G300" s="120"/>
      <c r="H300" s="120"/>
      <c r="I300" s="10"/>
      <c r="J300" s="6"/>
    </row>
    <row r="301">
      <c r="A301" s="10"/>
      <c r="B301" s="10"/>
      <c r="C301" s="10"/>
      <c r="D301" s="10"/>
      <c r="E301" s="10"/>
      <c r="F301" s="120"/>
      <c r="G301" s="120"/>
      <c r="H301" s="120"/>
      <c r="I301" s="10"/>
      <c r="J301" s="6"/>
    </row>
    <row r="302">
      <c r="A302" s="10"/>
      <c r="B302" s="10"/>
      <c r="C302" s="10"/>
      <c r="D302" s="10"/>
      <c r="E302" s="10"/>
      <c r="F302" s="120"/>
      <c r="G302" s="120"/>
      <c r="H302" s="120"/>
      <c r="I302" s="10"/>
      <c r="J302" s="6"/>
    </row>
    <row r="303">
      <c r="A303" s="10"/>
      <c r="B303" s="10"/>
      <c r="C303" s="10"/>
      <c r="D303" s="10"/>
      <c r="E303" s="10"/>
      <c r="F303" s="120"/>
      <c r="G303" s="120"/>
      <c r="H303" s="120"/>
      <c r="I303" s="10"/>
      <c r="J303" s="6"/>
    </row>
    <row r="304">
      <c r="A304" s="10"/>
      <c r="B304" s="10"/>
      <c r="C304" s="10"/>
      <c r="D304" s="10"/>
      <c r="E304" s="10"/>
      <c r="F304" s="120"/>
      <c r="G304" s="120"/>
      <c r="H304" s="120"/>
      <c r="I304" s="10"/>
      <c r="J304" s="6"/>
    </row>
    <row r="305">
      <c r="A305" s="10"/>
      <c r="B305" s="10"/>
      <c r="C305" s="10"/>
      <c r="D305" s="10"/>
      <c r="E305" s="10"/>
      <c r="F305" s="120"/>
      <c r="G305" s="120"/>
      <c r="H305" s="120"/>
      <c r="I305" s="10"/>
      <c r="J305" s="6"/>
    </row>
    <row r="306">
      <c r="A306" s="10"/>
      <c r="B306" s="10"/>
      <c r="C306" s="10"/>
      <c r="D306" s="10"/>
      <c r="E306" s="10"/>
      <c r="F306" s="120"/>
      <c r="G306" s="120"/>
      <c r="H306" s="120"/>
      <c r="I306" s="10"/>
      <c r="J306" s="6"/>
    </row>
    <row r="307">
      <c r="A307" s="10"/>
      <c r="B307" s="10"/>
      <c r="C307" s="10"/>
      <c r="D307" s="10"/>
      <c r="E307" s="10"/>
      <c r="F307" s="120"/>
      <c r="G307" s="120"/>
      <c r="H307" s="120"/>
      <c r="I307" s="10"/>
      <c r="J307" s="6"/>
    </row>
    <row r="308">
      <c r="A308" s="10"/>
      <c r="B308" s="10"/>
      <c r="C308" s="10"/>
      <c r="D308" s="10"/>
      <c r="E308" s="10"/>
      <c r="F308" s="120"/>
      <c r="G308" s="120"/>
      <c r="H308" s="120"/>
      <c r="I308" s="10"/>
      <c r="J308" s="6"/>
    </row>
    <row r="309">
      <c r="A309" s="10"/>
      <c r="B309" s="10"/>
      <c r="C309" s="10"/>
      <c r="D309" s="10"/>
      <c r="E309" s="10"/>
      <c r="F309" s="120"/>
      <c r="G309" s="120"/>
      <c r="H309" s="120"/>
      <c r="I309" s="10"/>
      <c r="J309" s="6"/>
    </row>
    <row r="310">
      <c r="A310" s="10"/>
      <c r="B310" s="10"/>
      <c r="C310" s="10"/>
      <c r="D310" s="10"/>
      <c r="E310" s="10"/>
      <c r="F310" s="120"/>
      <c r="G310" s="120"/>
      <c r="H310" s="120"/>
      <c r="I310" s="10"/>
      <c r="J310" s="6"/>
    </row>
    <row r="311">
      <c r="A311" s="10"/>
      <c r="B311" s="10"/>
      <c r="C311" s="10"/>
      <c r="D311" s="10"/>
      <c r="E311" s="10"/>
      <c r="F311" s="120"/>
      <c r="G311" s="120"/>
      <c r="H311" s="120"/>
      <c r="I311" s="10"/>
      <c r="J311" s="6"/>
    </row>
    <row r="312">
      <c r="A312" s="10"/>
      <c r="B312" s="10"/>
      <c r="C312" s="10"/>
      <c r="D312" s="10"/>
      <c r="E312" s="10"/>
      <c r="F312" s="120"/>
      <c r="G312" s="120"/>
      <c r="H312" s="120"/>
      <c r="I312" s="10"/>
      <c r="J312" s="6"/>
    </row>
    <row r="313">
      <c r="A313" s="10"/>
      <c r="B313" s="10"/>
      <c r="C313" s="10"/>
      <c r="D313" s="10"/>
      <c r="E313" s="10"/>
      <c r="F313" s="120"/>
      <c r="G313" s="120"/>
      <c r="H313" s="120"/>
      <c r="I313" s="10"/>
      <c r="J313" s="6"/>
    </row>
    <row r="314">
      <c r="A314" s="10"/>
      <c r="B314" s="10"/>
      <c r="C314" s="10"/>
      <c r="D314" s="10"/>
      <c r="E314" s="10"/>
      <c r="F314" s="120"/>
      <c r="G314" s="120"/>
      <c r="H314" s="120"/>
      <c r="I314" s="10"/>
      <c r="J314" s="6"/>
    </row>
    <row r="315">
      <c r="A315" s="10"/>
      <c r="B315" s="10"/>
      <c r="C315" s="10"/>
      <c r="D315" s="10"/>
      <c r="E315" s="10"/>
      <c r="F315" s="120"/>
      <c r="G315" s="120"/>
      <c r="H315" s="120"/>
      <c r="I315" s="10"/>
      <c r="J315" s="6"/>
    </row>
    <row r="316">
      <c r="A316" s="10"/>
      <c r="B316" s="10"/>
      <c r="C316" s="10"/>
      <c r="D316" s="10"/>
      <c r="E316" s="10"/>
      <c r="F316" s="120"/>
      <c r="G316" s="120"/>
      <c r="H316" s="120"/>
      <c r="I316" s="10"/>
      <c r="J316" s="6"/>
    </row>
    <row r="317">
      <c r="A317" s="10"/>
      <c r="B317" s="10"/>
      <c r="C317" s="10"/>
      <c r="D317" s="10"/>
      <c r="E317" s="10"/>
      <c r="F317" s="120"/>
      <c r="G317" s="120"/>
      <c r="H317" s="120"/>
      <c r="I317" s="10"/>
      <c r="J317" s="6"/>
    </row>
    <row r="318">
      <c r="A318" s="10"/>
      <c r="B318" s="10"/>
      <c r="C318" s="10"/>
      <c r="D318" s="10"/>
      <c r="E318" s="10"/>
      <c r="F318" s="120"/>
      <c r="G318" s="120"/>
      <c r="H318" s="120"/>
      <c r="I318" s="10"/>
      <c r="J318" s="6"/>
    </row>
    <row r="319">
      <c r="A319" s="10"/>
      <c r="B319" s="10"/>
      <c r="C319" s="10"/>
      <c r="D319" s="10"/>
      <c r="E319" s="10"/>
      <c r="F319" s="120"/>
      <c r="G319" s="120"/>
      <c r="H319" s="120"/>
      <c r="I319" s="10"/>
      <c r="J319" s="6"/>
    </row>
    <row r="320">
      <c r="A320" s="10"/>
      <c r="B320" s="10"/>
      <c r="C320" s="10"/>
      <c r="D320" s="10"/>
      <c r="E320" s="10"/>
      <c r="F320" s="120"/>
      <c r="G320" s="120"/>
      <c r="H320" s="120"/>
      <c r="I320" s="10"/>
      <c r="J320" s="6"/>
    </row>
    <row r="321">
      <c r="A321" s="10"/>
      <c r="B321" s="10"/>
      <c r="C321" s="10"/>
      <c r="D321" s="10"/>
      <c r="E321" s="10"/>
      <c r="F321" s="120"/>
      <c r="G321" s="120"/>
      <c r="H321" s="120"/>
      <c r="I321" s="10"/>
      <c r="J321" s="6"/>
    </row>
    <row r="322">
      <c r="A322" s="10"/>
      <c r="B322" s="10"/>
      <c r="C322" s="10"/>
      <c r="D322" s="10"/>
      <c r="E322" s="10"/>
      <c r="F322" s="120"/>
      <c r="G322" s="120"/>
      <c r="H322" s="120"/>
      <c r="I322" s="10"/>
      <c r="J322" s="6"/>
    </row>
    <row r="323">
      <c r="A323" s="10"/>
      <c r="B323" s="10"/>
      <c r="C323" s="10"/>
      <c r="D323" s="10"/>
      <c r="E323" s="10"/>
      <c r="F323" s="120"/>
      <c r="G323" s="120"/>
      <c r="H323" s="120"/>
      <c r="I323" s="10"/>
      <c r="J323" s="6"/>
    </row>
    <row r="324">
      <c r="A324" s="10"/>
      <c r="B324" s="10"/>
      <c r="C324" s="10"/>
      <c r="D324" s="10"/>
      <c r="E324" s="10"/>
      <c r="F324" s="120"/>
      <c r="G324" s="120"/>
      <c r="H324" s="120"/>
      <c r="I324" s="10"/>
      <c r="J324" s="6"/>
    </row>
    <row r="325">
      <c r="A325" s="10"/>
      <c r="B325" s="10"/>
      <c r="C325" s="10"/>
      <c r="D325" s="10"/>
      <c r="E325" s="10"/>
      <c r="F325" s="120"/>
      <c r="G325" s="120"/>
      <c r="H325" s="120"/>
      <c r="I325" s="10"/>
      <c r="J325" s="6"/>
    </row>
    <row r="326">
      <c r="A326" s="10"/>
      <c r="B326" s="10"/>
      <c r="C326" s="10"/>
      <c r="D326" s="10"/>
      <c r="E326" s="10"/>
      <c r="F326" s="120"/>
      <c r="G326" s="120"/>
      <c r="H326" s="120"/>
      <c r="I326" s="10"/>
      <c r="J326" s="6"/>
    </row>
    <row r="327">
      <c r="A327" s="10"/>
      <c r="B327" s="10"/>
      <c r="C327" s="10"/>
      <c r="D327" s="10"/>
      <c r="E327" s="10"/>
      <c r="F327" s="120"/>
      <c r="G327" s="120"/>
      <c r="H327" s="120"/>
      <c r="I327" s="10"/>
      <c r="J327" s="6"/>
    </row>
    <row r="328">
      <c r="A328" s="10"/>
      <c r="B328" s="10"/>
      <c r="C328" s="10"/>
      <c r="D328" s="10"/>
      <c r="E328" s="10"/>
      <c r="F328" s="120"/>
      <c r="G328" s="120"/>
      <c r="H328" s="120"/>
      <c r="I328" s="10"/>
      <c r="J328" s="6"/>
    </row>
    <row r="329">
      <c r="A329" s="10"/>
      <c r="B329" s="10"/>
      <c r="C329" s="10"/>
      <c r="D329" s="10"/>
      <c r="E329" s="10"/>
      <c r="F329" s="120"/>
      <c r="G329" s="120"/>
      <c r="H329" s="120"/>
      <c r="I329" s="10"/>
      <c r="J329" s="6"/>
    </row>
    <row r="330">
      <c r="A330" s="10"/>
      <c r="B330" s="10"/>
      <c r="C330" s="10"/>
      <c r="D330" s="10"/>
      <c r="E330" s="10"/>
      <c r="F330" s="120"/>
      <c r="G330" s="120"/>
      <c r="H330" s="120"/>
      <c r="I330" s="10"/>
      <c r="J330" s="6"/>
    </row>
    <row r="331">
      <c r="A331" s="10"/>
      <c r="B331" s="10"/>
      <c r="C331" s="10"/>
      <c r="D331" s="10"/>
      <c r="E331" s="10"/>
      <c r="F331" s="120"/>
      <c r="G331" s="120"/>
      <c r="H331" s="120"/>
      <c r="I331" s="10"/>
      <c r="J331" s="6"/>
    </row>
    <row r="332">
      <c r="A332" s="10"/>
      <c r="B332" s="10"/>
      <c r="C332" s="10"/>
      <c r="D332" s="10"/>
      <c r="E332" s="10"/>
      <c r="F332" s="120"/>
      <c r="G332" s="120"/>
      <c r="H332" s="120"/>
      <c r="I332" s="10"/>
      <c r="J332" s="6"/>
    </row>
    <row r="333">
      <c r="A333" s="10"/>
      <c r="B333" s="10"/>
      <c r="C333" s="10"/>
      <c r="D333" s="10"/>
      <c r="E333" s="10"/>
      <c r="F333" s="120"/>
      <c r="G333" s="120"/>
      <c r="H333" s="120"/>
      <c r="I333" s="10"/>
      <c r="J333" s="6"/>
    </row>
    <row r="334">
      <c r="A334" s="10"/>
      <c r="B334" s="10"/>
      <c r="C334" s="10"/>
      <c r="D334" s="10"/>
      <c r="E334" s="10"/>
      <c r="F334" s="120"/>
      <c r="G334" s="120"/>
      <c r="H334" s="120"/>
      <c r="I334" s="10"/>
      <c r="J334" s="6"/>
    </row>
    <row r="335">
      <c r="A335" s="10"/>
      <c r="B335" s="10"/>
      <c r="C335" s="10"/>
      <c r="D335" s="10"/>
      <c r="E335" s="10"/>
      <c r="F335" s="120"/>
      <c r="G335" s="120"/>
      <c r="H335" s="120"/>
      <c r="I335" s="10"/>
      <c r="J335" s="6"/>
    </row>
    <row r="336">
      <c r="A336" s="10"/>
      <c r="B336" s="10"/>
      <c r="C336" s="10"/>
      <c r="D336" s="10"/>
      <c r="E336" s="10"/>
      <c r="F336" s="120"/>
      <c r="G336" s="120"/>
      <c r="H336" s="120"/>
      <c r="I336" s="10"/>
      <c r="J336" s="6"/>
    </row>
    <row r="337">
      <c r="A337" s="10"/>
      <c r="B337" s="10"/>
      <c r="C337" s="10"/>
      <c r="D337" s="10"/>
      <c r="E337" s="10"/>
      <c r="F337" s="120"/>
      <c r="G337" s="120"/>
      <c r="H337" s="120"/>
      <c r="I337" s="10"/>
      <c r="J337" s="6"/>
    </row>
    <row r="338">
      <c r="A338" s="10"/>
      <c r="B338" s="10"/>
      <c r="C338" s="10"/>
      <c r="D338" s="10"/>
      <c r="E338" s="10"/>
      <c r="F338" s="120"/>
      <c r="G338" s="120"/>
      <c r="H338" s="120"/>
      <c r="I338" s="10"/>
      <c r="J338" s="6"/>
    </row>
    <row r="339">
      <c r="A339" s="10"/>
      <c r="B339" s="10"/>
      <c r="C339" s="10"/>
      <c r="D339" s="10"/>
      <c r="E339" s="10"/>
      <c r="F339" s="120"/>
      <c r="G339" s="120"/>
      <c r="H339" s="120"/>
      <c r="I339" s="10"/>
      <c r="J339" s="6"/>
    </row>
    <row r="340">
      <c r="A340" s="10"/>
      <c r="B340" s="10"/>
      <c r="C340" s="10"/>
      <c r="D340" s="10"/>
      <c r="E340" s="10"/>
      <c r="F340" s="120"/>
      <c r="G340" s="120"/>
      <c r="H340" s="120"/>
      <c r="I340" s="10"/>
      <c r="J340" s="6"/>
    </row>
    <row r="341">
      <c r="A341" s="10"/>
      <c r="B341" s="10"/>
      <c r="C341" s="10"/>
      <c r="D341" s="10"/>
      <c r="E341" s="10"/>
      <c r="F341" s="120"/>
      <c r="G341" s="120"/>
      <c r="H341" s="120"/>
      <c r="I341" s="10"/>
      <c r="J341" s="6"/>
    </row>
    <row r="342">
      <c r="A342" s="10"/>
      <c r="B342" s="10"/>
      <c r="C342" s="10"/>
      <c r="D342" s="10"/>
      <c r="E342" s="10"/>
      <c r="F342" s="120"/>
      <c r="G342" s="120"/>
      <c r="H342" s="120"/>
      <c r="I342" s="10"/>
      <c r="J342" s="6"/>
    </row>
    <row r="343">
      <c r="A343" s="10"/>
      <c r="B343" s="10"/>
      <c r="C343" s="10"/>
      <c r="D343" s="10"/>
      <c r="E343" s="10"/>
      <c r="F343" s="120"/>
      <c r="G343" s="120"/>
      <c r="H343" s="120"/>
      <c r="I343" s="10"/>
      <c r="J343" s="6"/>
    </row>
    <row r="344">
      <c r="A344" s="10"/>
      <c r="B344" s="10"/>
      <c r="C344" s="10"/>
      <c r="D344" s="10"/>
      <c r="E344" s="10"/>
      <c r="F344" s="120"/>
      <c r="G344" s="120"/>
      <c r="H344" s="120"/>
      <c r="I344" s="10"/>
      <c r="J344" s="6"/>
    </row>
    <row r="345">
      <c r="A345" s="10"/>
      <c r="B345" s="10"/>
      <c r="C345" s="10"/>
      <c r="D345" s="10"/>
      <c r="E345" s="10"/>
      <c r="F345" s="120"/>
      <c r="G345" s="120"/>
      <c r="H345" s="120"/>
      <c r="I345" s="10"/>
      <c r="J345" s="6"/>
    </row>
    <row r="346">
      <c r="A346" s="10"/>
      <c r="B346" s="10"/>
      <c r="C346" s="10"/>
      <c r="D346" s="10"/>
      <c r="E346" s="10"/>
      <c r="F346" s="120"/>
      <c r="G346" s="120"/>
      <c r="H346" s="120"/>
      <c r="I346" s="10"/>
      <c r="J346" s="6"/>
    </row>
    <row r="347">
      <c r="A347" s="10"/>
      <c r="B347" s="10"/>
      <c r="C347" s="10"/>
      <c r="D347" s="10"/>
      <c r="E347" s="10"/>
      <c r="F347" s="120"/>
      <c r="G347" s="120"/>
      <c r="H347" s="120"/>
      <c r="I347" s="10"/>
      <c r="J347" s="6"/>
    </row>
    <row r="348">
      <c r="A348" s="10"/>
      <c r="B348" s="10"/>
      <c r="C348" s="10"/>
      <c r="D348" s="10"/>
      <c r="E348" s="10"/>
      <c r="F348" s="120"/>
      <c r="G348" s="120"/>
      <c r="H348" s="120"/>
      <c r="I348" s="10"/>
      <c r="J348" s="6"/>
    </row>
    <row r="349">
      <c r="A349" s="10"/>
      <c r="B349" s="10"/>
      <c r="C349" s="10"/>
      <c r="D349" s="10"/>
      <c r="E349" s="10"/>
      <c r="F349" s="120"/>
      <c r="G349" s="120"/>
      <c r="H349" s="120"/>
      <c r="I349" s="10"/>
      <c r="J349" s="6"/>
    </row>
    <row r="350">
      <c r="A350" s="10"/>
      <c r="B350" s="10"/>
      <c r="C350" s="10"/>
      <c r="D350" s="10"/>
      <c r="E350" s="10"/>
      <c r="F350" s="120"/>
      <c r="G350" s="120"/>
      <c r="H350" s="120"/>
      <c r="I350" s="10"/>
      <c r="J350" s="6"/>
    </row>
    <row r="351">
      <c r="A351" s="10"/>
      <c r="B351" s="10"/>
      <c r="C351" s="10"/>
      <c r="D351" s="10"/>
      <c r="E351" s="10"/>
      <c r="F351" s="120"/>
      <c r="G351" s="120"/>
      <c r="H351" s="120"/>
      <c r="I351" s="10"/>
      <c r="J351" s="6"/>
    </row>
    <row r="352">
      <c r="A352" s="10"/>
      <c r="B352" s="10"/>
      <c r="C352" s="10"/>
      <c r="D352" s="10"/>
      <c r="E352" s="10"/>
      <c r="F352" s="120"/>
      <c r="G352" s="120"/>
      <c r="H352" s="120"/>
      <c r="I352" s="10"/>
      <c r="J352" s="6"/>
    </row>
    <row r="353">
      <c r="A353" s="10"/>
      <c r="B353" s="10"/>
      <c r="C353" s="10"/>
      <c r="D353" s="10"/>
      <c r="E353" s="10"/>
      <c r="F353" s="120"/>
      <c r="G353" s="120"/>
      <c r="H353" s="120"/>
      <c r="I353" s="10"/>
      <c r="J353" s="6"/>
    </row>
    <row r="354">
      <c r="A354" s="10"/>
      <c r="B354" s="10"/>
      <c r="C354" s="10"/>
      <c r="D354" s="10"/>
      <c r="E354" s="10"/>
      <c r="F354" s="120"/>
      <c r="G354" s="120"/>
      <c r="H354" s="120"/>
      <c r="I354" s="10"/>
      <c r="J354" s="6"/>
    </row>
    <row r="355">
      <c r="A355" s="10"/>
      <c r="B355" s="10"/>
      <c r="C355" s="10"/>
      <c r="D355" s="10"/>
      <c r="E355" s="10"/>
      <c r="F355" s="120"/>
      <c r="G355" s="120"/>
      <c r="H355" s="120"/>
      <c r="I355" s="10"/>
      <c r="J355" s="6"/>
    </row>
    <row r="356">
      <c r="A356" s="10"/>
      <c r="B356" s="10"/>
      <c r="C356" s="10"/>
      <c r="D356" s="10"/>
      <c r="E356" s="10"/>
      <c r="F356" s="120"/>
      <c r="G356" s="120"/>
      <c r="H356" s="120"/>
      <c r="I356" s="10"/>
      <c r="J356" s="6"/>
    </row>
    <row r="357">
      <c r="A357" s="10"/>
      <c r="B357" s="10"/>
      <c r="C357" s="10"/>
      <c r="D357" s="10"/>
      <c r="E357" s="10"/>
      <c r="F357" s="120"/>
      <c r="G357" s="120"/>
      <c r="H357" s="120"/>
      <c r="I357" s="10"/>
      <c r="J357" s="6"/>
    </row>
    <row r="358">
      <c r="A358" s="10"/>
      <c r="B358" s="10"/>
      <c r="C358" s="10"/>
      <c r="D358" s="10"/>
      <c r="E358" s="10"/>
      <c r="F358" s="120"/>
      <c r="G358" s="120"/>
      <c r="H358" s="120"/>
      <c r="I358" s="10"/>
      <c r="J358" s="6"/>
    </row>
    <row r="359">
      <c r="A359" s="10"/>
      <c r="B359" s="10"/>
      <c r="C359" s="10"/>
      <c r="D359" s="10"/>
      <c r="E359" s="10"/>
      <c r="F359" s="120"/>
      <c r="G359" s="120"/>
      <c r="H359" s="120"/>
      <c r="I359" s="10"/>
      <c r="J359" s="6"/>
    </row>
    <row r="360">
      <c r="A360" s="10"/>
      <c r="B360" s="10"/>
      <c r="C360" s="10"/>
      <c r="D360" s="10"/>
      <c r="E360" s="10"/>
      <c r="F360" s="120"/>
      <c r="G360" s="120"/>
      <c r="H360" s="120"/>
      <c r="I360" s="10"/>
      <c r="J360" s="6"/>
    </row>
    <row r="361">
      <c r="A361" s="10"/>
      <c r="B361" s="10"/>
      <c r="C361" s="10"/>
      <c r="D361" s="10"/>
      <c r="E361" s="10"/>
      <c r="F361" s="120"/>
      <c r="G361" s="120"/>
      <c r="H361" s="120"/>
      <c r="I361" s="10"/>
      <c r="J361" s="6"/>
    </row>
    <row r="362">
      <c r="A362" s="10"/>
      <c r="B362" s="10"/>
      <c r="C362" s="10"/>
      <c r="D362" s="10"/>
      <c r="E362" s="10"/>
      <c r="F362" s="120"/>
      <c r="G362" s="120"/>
      <c r="H362" s="120"/>
      <c r="I362" s="10"/>
      <c r="J362" s="6"/>
    </row>
    <row r="363">
      <c r="A363" s="10"/>
      <c r="B363" s="10"/>
      <c r="C363" s="10"/>
      <c r="D363" s="10"/>
      <c r="E363" s="10"/>
      <c r="F363" s="120"/>
      <c r="G363" s="120"/>
      <c r="H363" s="120"/>
      <c r="I363" s="10"/>
      <c r="J363" s="6"/>
    </row>
    <row r="364">
      <c r="A364" s="10"/>
      <c r="B364" s="10"/>
      <c r="C364" s="10"/>
      <c r="D364" s="10"/>
      <c r="E364" s="10"/>
      <c r="F364" s="120"/>
      <c r="G364" s="120"/>
      <c r="H364" s="120"/>
      <c r="I364" s="10"/>
      <c r="J364" s="6"/>
    </row>
    <row r="365">
      <c r="A365" s="10"/>
      <c r="B365" s="10"/>
      <c r="C365" s="10"/>
      <c r="D365" s="10"/>
      <c r="E365" s="10"/>
      <c r="F365" s="120"/>
      <c r="G365" s="120"/>
      <c r="H365" s="120"/>
      <c r="I365" s="10"/>
      <c r="J365" s="6"/>
    </row>
    <row r="366">
      <c r="A366" s="10"/>
      <c r="B366" s="10"/>
      <c r="C366" s="10"/>
      <c r="D366" s="10"/>
      <c r="E366" s="10"/>
      <c r="F366" s="120"/>
      <c r="G366" s="120"/>
      <c r="H366" s="120"/>
      <c r="I366" s="10"/>
      <c r="J366" s="6"/>
    </row>
    <row r="367">
      <c r="A367" s="10"/>
      <c r="B367" s="10"/>
      <c r="C367" s="10"/>
      <c r="D367" s="10"/>
      <c r="E367" s="10"/>
      <c r="F367" s="120"/>
      <c r="G367" s="120"/>
      <c r="H367" s="120"/>
      <c r="I367" s="10"/>
      <c r="J367" s="6"/>
    </row>
    <row r="368">
      <c r="A368" s="10"/>
      <c r="B368" s="10"/>
      <c r="C368" s="10"/>
      <c r="D368" s="10"/>
      <c r="E368" s="10"/>
      <c r="F368" s="120"/>
      <c r="G368" s="120"/>
      <c r="H368" s="120"/>
      <c r="I368" s="10"/>
      <c r="J368" s="6"/>
    </row>
    <row r="369">
      <c r="A369" s="10"/>
      <c r="B369" s="10"/>
      <c r="C369" s="10"/>
      <c r="D369" s="10"/>
      <c r="E369" s="10"/>
      <c r="F369" s="120"/>
      <c r="G369" s="120"/>
      <c r="H369" s="120"/>
      <c r="I369" s="10"/>
      <c r="J369" s="6"/>
    </row>
    <row r="370">
      <c r="A370" s="10"/>
      <c r="B370" s="10"/>
      <c r="C370" s="10"/>
      <c r="D370" s="10"/>
      <c r="E370" s="10"/>
      <c r="F370" s="120"/>
      <c r="G370" s="120"/>
      <c r="H370" s="120"/>
      <c r="I370" s="10"/>
      <c r="J370" s="6"/>
    </row>
    <row r="371">
      <c r="A371" s="10"/>
      <c r="B371" s="10"/>
      <c r="C371" s="10"/>
      <c r="D371" s="10"/>
      <c r="E371" s="10"/>
      <c r="F371" s="120"/>
      <c r="G371" s="120"/>
      <c r="H371" s="120"/>
      <c r="I371" s="10"/>
      <c r="J371" s="6"/>
    </row>
    <row r="372">
      <c r="A372" s="10"/>
      <c r="B372" s="10"/>
      <c r="C372" s="10"/>
      <c r="D372" s="10"/>
      <c r="E372" s="10"/>
      <c r="F372" s="120"/>
      <c r="G372" s="120"/>
      <c r="H372" s="120"/>
      <c r="I372" s="10"/>
      <c r="J372" s="6"/>
    </row>
    <row r="373">
      <c r="A373" s="10"/>
      <c r="B373" s="10"/>
      <c r="C373" s="10"/>
      <c r="D373" s="10"/>
      <c r="E373" s="10"/>
      <c r="F373" s="120"/>
      <c r="G373" s="120"/>
      <c r="H373" s="120"/>
      <c r="I373" s="10"/>
      <c r="J373" s="6"/>
    </row>
    <row r="374">
      <c r="A374" s="10"/>
      <c r="B374" s="10"/>
      <c r="C374" s="10"/>
      <c r="D374" s="10"/>
      <c r="E374" s="10"/>
      <c r="F374" s="120"/>
      <c r="G374" s="120"/>
      <c r="H374" s="120"/>
      <c r="I374" s="10"/>
      <c r="J374" s="6"/>
    </row>
    <row r="375">
      <c r="A375" s="10"/>
      <c r="B375" s="10"/>
      <c r="C375" s="10"/>
      <c r="D375" s="10"/>
      <c r="E375" s="10"/>
      <c r="F375" s="120"/>
      <c r="G375" s="120"/>
      <c r="H375" s="120"/>
      <c r="I375" s="10"/>
      <c r="J375" s="6"/>
    </row>
    <row r="376">
      <c r="A376" s="10"/>
      <c r="B376" s="10"/>
      <c r="C376" s="10"/>
      <c r="D376" s="10"/>
      <c r="E376" s="10"/>
      <c r="F376" s="120"/>
      <c r="G376" s="120"/>
      <c r="H376" s="120"/>
      <c r="I376" s="10"/>
      <c r="J376" s="6"/>
    </row>
    <row r="377">
      <c r="A377" s="10"/>
      <c r="B377" s="10"/>
      <c r="C377" s="10"/>
      <c r="D377" s="10"/>
      <c r="E377" s="10"/>
      <c r="F377" s="120"/>
      <c r="G377" s="120"/>
      <c r="H377" s="120"/>
      <c r="I377" s="10"/>
      <c r="J377" s="6"/>
    </row>
    <row r="378">
      <c r="A378" s="10"/>
      <c r="B378" s="10"/>
      <c r="C378" s="10"/>
      <c r="D378" s="10"/>
      <c r="E378" s="10"/>
      <c r="F378" s="120"/>
      <c r="G378" s="120"/>
      <c r="H378" s="120"/>
      <c r="I378" s="10"/>
      <c r="J378" s="6"/>
    </row>
    <row r="379">
      <c r="A379" s="10"/>
      <c r="B379" s="10"/>
      <c r="C379" s="10"/>
      <c r="D379" s="10"/>
      <c r="E379" s="10"/>
      <c r="F379" s="120"/>
      <c r="G379" s="120"/>
      <c r="H379" s="120"/>
      <c r="I379" s="10"/>
      <c r="J379" s="6"/>
    </row>
    <row r="380">
      <c r="A380" s="10"/>
      <c r="B380" s="10"/>
      <c r="C380" s="10"/>
      <c r="D380" s="10"/>
      <c r="E380" s="10"/>
      <c r="F380" s="120"/>
      <c r="G380" s="120"/>
      <c r="H380" s="120"/>
      <c r="I380" s="10"/>
      <c r="J380" s="6"/>
    </row>
    <row r="381">
      <c r="A381" s="10"/>
      <c r="B381" s="10"/>
      <c r="C381" s="10"/>
      <c r="D381" s="10"/>
      <c r="E381" s="10"/>
      <c r="F381" s="120"/>
      <c r="G381" s="120"/>
      <c r="H381" s="120"/>
      <c r="I381" s="10"/>
      <c r="J381" s="6"/>
    </row>
    <row r="382">
      <c r="A382" s="10"/>
      <c r="B382" s="10"/>
      <c r="C382" s="10"/>
      <c r="D382" s="10"/>
      <c r="E382" s="10"/>
      <c r="F382" s="120"/>
      <c r="G382" s="120"/>
      <c r="H382" s="120"/>
      <c r="I382" s="10"/>
      <c r="J382" s="6"/>
    </row>
    <row r="383">
      <c r="A383" s="10"/>
      <c r="B383" s="10"/>
      <c r="C383" s="10"/>
      <c r="D383" s="10"/>
      <c r="E383" s="10"/>
      <c r="F383" s="120"/>
      <c r="G383" s="120"/>
      <c r="H383" s="120"/>
      <c r="I383" s="10"/>
      <c r="J383" s="6"/>
    </row>
    <row r="384">
      <c r="A384" s="10"/>
      <c r="B384" s="10"/>
      <c r="C384" s="10"/>
      <c r="D384" s="10"/>
      <c r="E384" s="10"/>
      <c r="F384" s="120"/>
      <c r="G384" s="120"/>
      <c r="H384" s="120"/>
      <c r="I384" s="10"/>
      <c r="J384" s="6"/>
    </row>
    <row r="385">
      <c r="A385" s="10"/>
      <c r="B385" s="10"/>
      <c r="C385" s="10"/>
      <c r="D385" s="10"/>
      <c r="E385" s="10"/>
      <c r="F385" s="120"/>
      <c r="G385" s="120"/>
      <c r="H385" s="120"/>
      <c r="I385" s="10"/>
      <c r="J385" s="6"/>
    </row>
    <row r="386">
      <c r="A386" s="10"/>
      <c r="B386" s="10"/>
      <c r="C386" s="10"/>
      <c r="D386" s="10"/>
      <c r="E386" s="10"/>
      <c r="F386" s="120"/>
      <c r="G386" s="120"/>
      <c r="H386" s="120"/>
      <c r="I386" s="10"/>
      <c r="J386" s="6"/>
    </row>
    <row r="387">
      <c r="A387" s="10"/>
      <c r="B387" s="10"/>
      <c r="C387" s="10"/>
      <c r="D387" s="10"/>
      <c r="E387" s="10"/>
      <c r="F387" s="120"/>
      <c r="G387" s="120"/>
      <c r="H387" s="120"/>
      <c r="I387" s="10"/>
      <c r="J387" s="6"/>
    </row>
    <row r="388">
      <c r="A388" s="10"/>
      <c r="B388" s="10"/>
      <c r="C388" s="10"/>
      <c r="D388" s="10"/>
      <c r="E388" s="10"/>
      <c r="F388" s="120"/>
      <c r="G388" s="120"/>
      <c r="H388" s="120"/>
      <c r="I388" s="10"/>
      <c r="J388" s="6"/>
    </row>
    <row r="389">
      <c r="A389" s="10"/>
      <c r="B389" s="10"/>
      <c r="C389" s="10"/>
      <c r="D389" s="10"/>
      <c r="E389" s="10"/>
      <c r="F389" s="120"/>
      <c r="G389" s="120"/>
      <c r="H389" s="120"/>
      <c r="I389" s="10"/>
      <c r="J389" s="6"/>
    </row>
    <row r="390">
      <c r="A390" s="10"/>
      <c r="B390" s="10"/>
      <c r="C390" s="10"/>
      <c r="D390" s="10"/>
      <c r="E390" s="10"/>
      <c r="F390" s="120"/>
      <c r="G390" s="120"/>
      <c r="H390" s="120"/>
      <c r="I390" s="10"/>
      <c r="J390" s="6"/>
    </row>
    <row r="391">
      <c r="A391" s="10"/>
      <c r="B391" s="10"/>
      <c r="C391" s="10"/>
      <c r="D391" s="10"/>
      <c r="E391" s="10"/>
      <c r="F391" s="120"/>
      <c r="G391" s="120"/>
      <c r="H391" s="120"/>
      <c r="I391" s="10"/>
      <c r="J391" s="6"/>
    </row>
    <row r="392">
      <c r="A392" s="10"/>
      <c r="B392" s="10"/>
      <c r="C392" s="10"/>
      <c r="D392" s="10"/>
      <c r="E392" s="10"/>
      <c r="F392" s="120"/>
      <c r="G392" s="120"/>
      <c r="H392" s="120"/>
      <c r="I392" s="10"/>
      <c r="J392" s="6"/>
    </row>
    <row r="393">
      <c r="A393" s="10"/>
      <c r="B393" s="10"/>
      <c r="C393" s="10"/>
      <c r="D393" s="10"/>
      <c r="E393" s="10"/>
      <c r="F393" s="120"/>
      <c r="G393" s="120"/>
      <c r="H393" s="120"/>
      <c r="I393" s="10"/>
      <c r="J393" s="6"/>
    </row>
    <row r="394">
      <c r="A394" s="10"/>
      <c r="B394" s="10"/>
      <c r="C394" s="10"/>
      <c r="D394" s="10"/>
      <c r="E394" s="10"/>
      <c r="F394" s="120"/>
      <c r="G394" s="120"/>
      <c r="H394" s="120"/>
      <c r="I394" s="10"/>
      <c r="J394" s="6"/>
    </row>
    <row r="395">
      <c r="A395" s="10"/>
      <c r="B395" s="10"/>
      <c r="C395" s="10"/>
      <c r="D395" s="10"/>
      <c r="E395" s="10"/>
      <c r="F395" s="120"/>
      <c r="G395" s="120"/>
      <c r="H395" s="120"/>
      <c r="I395" s="10"/>
      <c r="J395" s="6"/>
    </row>
    <row r="396">
      <c r="A396" s="10"/>
      <c r="B396" s="10"/>
      <c r="C396" s="10"/>
      <c r="D396" s="10"/>
      <c r="E396" s="10"/>
      <c r="F396" s="120"/>
      <c r="G396" s="120"/>
      <c r="H396" s="120"/>
      <c r="I396" s="10"/>
      <c r="J396" s="6"/>
    </row>
    <row r="397">
      <c r="A397" s="10"/>
      <c r="B397" s="10"/>
      <c r="C397" s="10"/>
      <c r="D397" s="10"/>
      <c r="E397" s="10"/>
      <c r="F397" s="120"/>
      <c r="G397" s="120"/>
      <c r="H397" s="120"/>
      <c r="I397" s="10"/>
      <c r="J397" s="6"/>
    </row>
    <row r="398">
      <c r="A398" s="10"/>
      <c r="B398" s="10"/>
      <c r="C398" s="10"/>
      <c r="D398" s="10"/>
      <c r="E398" s="10"/>
      <c r="F398" s="120"/>
      <c r="G398" s="120"/>
      <c r="H398" s="120"/>
      <c r="I398" s="10"/>
      <c r="J398" s="6"/>
    </row>
    <row r="399">
      <c r="A399" s="10"/>
      <c r="B399" s="10"/>
      <c r="C399" s="10"/>
      <c r="D399" s="10"/>
      <c r="E399" s="10"/>
      <c r="F399" s="120"/>
      <c r="G399" s="120"/>
      <c r="H399" s="120"/>
      <c r="I399" s="10"/>
      <c r="J399" s="6"/>
    </row>
    <row r="400">
      <c r="A400" s="10"/>
      <c r="B400" s="10"/>
      <c r="C400" s="10"/>
      <c r="D400" s="10"/>
      <c r="E400" s="10"/>
      <c r="F400" s="120"/>
      <c r="G400" s="120"/>
      <c r="H400" s="120"/>
      <c r="I400" s="10"/>
      <c r="J400" s="6"/>
    </row>
    <row r="401">
      <c r="A401" s="10"/>
      <c r="B401" s="10"/>
      <c r="C401" s="10"/>
      <c r="D401" s="10"/>
      <c r="E401" s="10"/>
      <c r="F401" s="120"/>
      <c r="G401" s="120"/>
      <c r="H401" s="120"/>
      <c r="I401" s="10"/>
      <c r="J401" s="6"/>
    </row>
    <row r="402">
      <c r="A402" s="10"/>
      <c r="B402" s="10"/>
      <c r="C402" s="10"/>
      <c r="D402" s="10"/>
      <c r="E402" s="10"/>
      <c r="F402" s="120"/>
      <c r="G402" s="120"/>
      <c r="H402" s="120"/>
      <c r="I402" s="10"/>
      <c r="J402" s="6"/>
    </row>
    <row r="403">
      <c r="A403" s="10"/>
      <c r="B403" s="10"/>
      <c r="C403" s="10"/>
      <c r="D403" s="10"/>
      <c r="E403" s="10"/>
      <c r="F403" s="120"/>
      <c r="G403" s="120"/>
      <c r="H403" s="120"/>
      <c r="I403" s="10"/>
      <c r="J403" s="6"/>
    </row>
    <row r="404">
      <c r="A404" s="10"/>
      <c r="B404" s="10"/>
      <c r="C404" s="10"/>
      <c r="D404" s="10"/>
      <c r="E404" s="10"/>
      <c r="F404" s="120"/>
      <c r="G404" s="120"/>
      <c r="H404" s="120"/>
      <c r="I404" s="10"/>
      <c r="J404" s="6"/>
    </row>
    <row r="405">
      <c r="A405" s="10"/>
      <c r="B405" s="10"/>
      <c r="C405" s="10"/>
      <c r="D405" s="10"/>
      <c r="E405" s="10"/>
      <c r="F405" s="120"/>
      <c r="G405" s="120"/>
      <c r="H405" s="120"/>
      <c r="I405" s="10"/>
      <c r="J405" s="6"/>
    </row>
    <row r="406">
      <c r="A406" s="10"/>
      <c r="B406" s="10"/>
      <c r="C406" s="10"/>
      <c r="D406" s="10"/>
      <c r="E406" s="10"/>
      <c r="F406" s="120"/>
      <c r="G406" s="120"/>
      <c r="H406" s="120"/>
      <c r="I406" s="10"/>
      <c r="J406" s="6"/>
    </row>
    <row r="407">
      <c r="A407" s="10"/>
      <c r="B407" s="10"/>
      <c r="C407" s="10"/>
      <c r="D407" s="10"/>
      <c r="E407" s="10"/>
      <c r="F407" s="120"/>
      <c r="G407" s="120"/>
      <c r="H407" s="120"/>
      <c r="I407" s="10"/>
      <c r="J407" s="6"/>
    </row>
    <row r="408">
      <c r="A408" s="10"/>
      <c r="B408" s="10"/>
      <c r="C408" s="10"/>
      <c r="D408" s="10"/>
      <c r="E408" s="10"/>
      <c r="F408" s="120"/>
      <c r="G408" s="120"/>
      <c r="H408" s="120"/>
      <c r="I408" s="10"/>
      <c r="J408" s="6"/>
    </row>
    <row r="409">
      <c r="A409" s="10"/>
      <c r="B409" s="10"/>
      <c r="C409" s="10"/>
      <c r="D409" s="10"/>
      <c r="E409" s="10"/>
      <c r="F409" s="120"/>
      <c r="G409" s="120"/>
      <c r="H409" s="120"/>
      <c r="I409" s="10"/>
      <c r="J409" s="6"/>
    </row>
    <row r="410">
      <c r="A410" s="10"/>
      <c r="B410" s="10"/>
      <c r="C410" s="10"/>
      <c r="D410" s="10"/>
      <c r="E410" s="10"/>
      <c r="F410" s="120"/>
      <c r="G410" s="120"/>
      <c r="H410" s="120"/>
      <c r="I410" s="10"/>
      <c r="J410" s="6"/>
    </row>
    <row r="411">
      <c r="A411" s="10"/>
      <c r="B411" s="10"/>
      <c r="C411" s="10"/>
      <c r="D411" s="10"/>
      <c r="E411" s="10"/>
      <c r="F411" s="120"/>
      <c r="G411" s="120"/>
      <c r="H411" s="120"/>
      <c r="I411" s="10"/>
      <c r="J411" s="6"/>
    </row>
    <row r="412">
      <c r="A412" s="10"/>
      <c r="B412" s="10"/>
      <c r="C412" s="10"/>
      <c r="D412" s="10"/>
      <c r="E412" s="10"/>
      <c r="F412" s="120"/>
      <c r="G412" s="120"/>
      <c r="H412" s="120"/>
      <c r="I412" s="10"/>
      <c r="J412" s="6"/>
    </row>
    <row r="413">
      <c r="A413" s="10"/>
      <c r="B413" s="10"/>
      <c r="C413" s="10"/>
      <c r="D413" s="10"/>
      <c r="E413" s="10"/>
      <c r="F413" s="120"/>
      <c r="G413" s="120"/>
      <c r="H413" s="120"/>
      <c r="I413" s="10"/>
      <c r="J413" s="6"/>
    </row>
    <row r="414">
      <c r="A414" s="10"/>
      <c r="B414" s="10"/>
      <c r="C414" s="10"/>
      <c r="D414" s="10"/>
      <c r="E414" s="10"/>
      <c r="F414" s="120"/>
      <c r="G414" s="120"/>
      <c r="H414" s="120"/>
      <c r="I414" s="10"/>
      <c r="J414" s="6"/>
    </row>
    <row r="415">
      <c r="A415" s="10"/>
      <c r="B415" s="10"/>
      <c r="C415" s="10"/>
      <c r="D415" s="10"/>
      <c r="E415" s="10"/>
      <c r="F415" s="120"/>
      <c r="G415" s="120"/>
      <c r="H415" s="120"/>
      <c r="I415" s="10"/>
      <c r="J415" s="6"/>
    </row>
    <row r="416">
      <c r="A416" s="10"/>
      <c r="B416" s="10"/>
      <c r="C416" s="10"/>
      <c r="D416" s="10"/>
      <c r="E416" s="10"/>
      <c r="F416" s="120"/>
      <c r="G416" s="120"/>
      <c r="H416" s="120"/>
      <c r="I416" s="10"/>
      <c r="J416" s="6"/>
    </row>
    <row r="417">
      <c r="A417" s="10"/>
      <c r="B417" s="10"/>
      <c r="C417" s="10"/>
      <c r="D417" s="10"/>
      <c r="E417" s="10"/>
      <c r="F417" s="120"/>
      <c r="G417" s="120"/>
      <c r="H417" s="120"/>
      <c r="I417" s="10"/>
      <c r="J417" s="6"/>
    </row>
    <row r="418">
      <c r="A418" s="10"/>
      <c r="B418" s="10"/>
      <c r="C418" s="10"/>
      <c r="D418" s="10"/>
      <c r="E418" s="10"/>
      <c r="F418" s="120"/>
      <c r="G418" s="120"/>
      <c r="H418" s="120"/>
      <c r="I418" s="10"/>
      <c r="J418" s="6"/>
    </row>
    <row r="419">
      <c r="A419" s="10"/>
      <c r="B419" s="10"/>
      <c r="C419" s="10"/>
      <c r="D419" s="10"/>
      <c r="E419" s="10"/>
      <c r="F419" s="120"/>
      <c r="G419" s="120"/>
      <c r="H419" s="120"/>
      <c r="I419" s="10"/>
      <c r="J419" s="6"/>
    </row>
    <row r="420">
      <c r="A420" s="10"/>
      <c r="B420" s="10"/>
      <c r="C420" s="10"/>
      <c r="D420" s="10"/>
      <c r="E420" s="10"/>
      <c r="F420" s="120"/>
      <c r="G420" s="120"/>
      <c r="H420" s="120"/>
      <c r="I420" s="10"/>
      <c r="J420" s="6"/>
    </row>
    <row r="421">
      <c r="A421" s="10"/>
      <c r="B421" s="10"/>
      <c r="C421" s="10"/>
      <c r="D421" s="10"/>
      <c r="E421" s="10"/>
      <c r="F421" s="120"/>
      <c r="G421" s="120"/>
      <c r="H421" s="120"/>
      <c r="I421" s="10"/>
      <c r="J421" s="6"/>
    </row>
    <row r="422">
      <c r="A422" s="10"/>
      <c r="B422" s="10"/>
      <c r="C422" s="10"/>
      <c r="D422" s="10"/>
      <c r="E422" s="10"/>
      <c r="F422" s="120"/>
      <c r="G422" s="120"/>
      <c r="H422" s="120"/>
      <c r="I422" s="10"/>
      <c r="J422" s="6"/>
    </row>
    <row r="423">
      <c r="A423" s="10"/>
      <c r="B423" s="10"/>
      <c r="C423" s="10"/>
      <c r="D423" s="10"/>
      <c r="E423" s="10"/>
      <c r="F423" s="120"/>
      <c r="G423" s="120"/>
      <c r="H423" s="120"/>
      <c r="I423" s="10"/>
      <c r="J423" s="6"/>
    </row>
    <row r="424">
      <c r="A424" s="10"/>
      <c r="B424" s="10"/>
      <c r="C424" s="10"/>
      <c r="D424" s="10"/>
      <c r="E424" s="10"/>
      <c r="F424" s="120"/>
      <c r="G424" s="120"/>
      <c r="H424" s="120"/>
      <c r="I424" s="10"/>
      <c r="J424" s="6"/>
    </row>
    <row r="425">
      <c r="A425" s="10"/>
      <c r="B425" s="10"/>
      <c r="C425" s="10"/>
      <c r="D425" s="10"/>
      <c r="E425" s="10"/>
      <c r="F425" s="120"/>
      <c r="G425" s="120"/>
      <c r="H425" s="120"/>
      <c r="I425" s="10"/>
      <c r="J425" s="6"/>
    </row>
    <row r="426">
      <c r="A426" s="10"/>
      <c r="B426" s="10"/>
      <c r="C426" s="10"/>
      <c r="D426" s="10"/>
      <c r="E426" s="10"/>
      <c r="F426" s="120"/>
      <c r="G426" s="120"/>
      <c r="H426" s="120"/>
      <c r="I426" s="10"/>
      <c r="J426" s="6"/>
    </row>
    <row r="427">
      <c r="A427" s="10"/>
      <c r="B427" s="10"/>
      <c r="C427" s="10"/>
      <c r="D427" s="10"/>
      <c r="E427" s="10"/>
      <c r="F427" s="120"/>
      <c r="G427" s="120"/>
      <c r="H427" s="120"/>
      <c r="I427" s="10"/>
      <c r="J427" s="6"/>
    </row>
    <row r="428">
      <c r="A428" s="10"/>
      <c r="B428" s="10"/>
      <c r="C428" s="10"/>
      <c r="D428" s="10"/>
      <c r="E428" s="10"/>
      <c r="F428" s="120"/>
      <c r="G428" s="120"/>
      <c r="H428" s="120"/>
      <c r="I428" s="10"/>
      <c r="J428" s="6"/>
    </row>
    <row r="429">
      <c r="A429" s="10"/>
      <c r="B429" s="10"/>
      <c r="C429" s="10"/>
      <c r="D429" s="10"/>
      <c r="E429" s="10"/>
      <c r="F429" s="120"/>
      <c r="G429" s="120"/>
      <c r="H429" s="120"/>
      <c r="I429" s="10"/>
      <c r="J429" s="6"/>
    </row>
    <row r="430">
      <c r="A430" s="10"/>
      <c r="B430" s="10"/>
      <c r="C430" s="10"/>
      <c r="D430" s="10"/>
      <c r="E430" s="10"/>
      <c r="F430" s="120"/>
      <c r="G430" s="120"/>
      <c r="H430" s="120"/>
      <c r="I430" s="10"/>
      <c r="J430" s="6"/>
    </row>
    <row r="431">
      <c r="A431" s="10"/>
      <c r="B431" s="10"/>
      <c r="C431" s="10"/>
      <c r="D431" s="10"/>
      <c r="E431" s="10"/>
      <c r="F431" s="120"/>
      <c r="G431" s="120"/>
      <c r="H431" s="120"/>
      <c r="I431" s="10"/>
      <c r="J431" s="6"/>
    </row>
    <row r="432">
      <c r="A432" s="10"/>
      <c r="B432" s="10"/>
      <c r="C432" s="10"/>
      <c r="D432" s="10"/>
      <c r="E432" s="10"/>
      <c r="F432" s="120"/>
      <c r="G432" s="120"/>
      <c r="H432" s="120"/>
      <c r="I432" s="10"/>
      <c r="J432" s="6"/>
    </row>
    <row r="433">
      <c r="A433" s="10"/>
      <c r="B433" s="10"/>
      <c r="C433" s="10"/>
      <c r="D433" s="10"/>
      <c r="E433" s="10"/>
      <c r="F433" s="120"/>
      <c r="G433" s="120"/>
      <c r="H433" s="120"/>
      <c r="I433" s="10"/>
      <c r="J433" s="6"/>
    </row>
    <row r="434">
      <c r="A434" s="10"/>
      <c r="B434" s="10"/>
      <c r="C434" s="10"/>
      <c r="D434" s="10"/>
      <c r="E434" s="10"/>
      <c r="F434" s="120"/>
      <c r="G434" s="120"/>
      <c r="H434" s="120"/>
      <c r="I434" s="10"/>
      <c r="J434" s="6"/>
    </row>
    <row r="435">
      <c r="A435" s="10"/>
      <c r="B435" s="10"/>
      <c r="C435" s="10"/>
      <c r="D435" s="10"/>
      <c r="E435" s="10"/>
      <c r="F435" s="120"/>
      <c r="G435" s="120"/>
      <c r="H435" s="120"/>
      <c r="I435" s="10"/>
      <c r="J435" s="6"/>
    </row>
    <row r="436">
      <c r="A436" s="10"/>
      <c r="B436" s="10"/>
      <c r="C436" s="10"/>
      <c r="D436" s="10"/>
      <c r="E436" s="10"/>
      <c r="F436" s="120"/>
      <c r="G436" s="120"/>
      <c r="H436" s="120"/>
      <c r="I436" s="10"/>
      <c r="J436" s="6"/>
    </row>
    <row r="437">
      <c r="A437" s="10"/>
      <c r="B437" s="10"/>
      <c r="C437" s="10"/>
      <c r="D437" s="10"/>
      <c r="E437" s="10"/>
      <c r="F437" s="120"/>
      <c r="G437" s="120"/>
      <c r="H437" s="120"/>
      <c r="I437" s="10"/>
      <c r="J437" s="6"/>
    </row>
    <row r="438">
      <c r="A438" s="10"/>
      <c r="B438" s="10"/>
      <c r="C438" s="10"/>
      <c r="D438" s="10"/>
      <c r="E438" s="10"/>
      <c r="F438" s="120"/>
      <c r="G438" s="120"/>
      <c r="H438" s="120"/>
      <c r="I438" s="10"/>
      <c r="J438" s="6"/>
    </row>
    <row r="439">
      <c r="A439" s="10"/>
      <c r="B439" s="10"/>
      <c r="C439" s="10"/>
      <c r="D439" s="10"/>
      <c r="E439" s="10"/>
      <c r="F439" s="120"/>
      <c r="G439" s="120"/>
      <c r="H439" s="120"/>
      <c r="I439" s="10"/>
      <c r="J439" s="6"/>
    </row>
    <row r="440">
      <c r="A440" s="10"/>
      <c r="B440" s="10"/>
      <c r="C440" s="10"/>
      <c r="D440" s="10"/>
      <c r="E440" s="10"/>
      <c r="F440" s="120"/>
      <c r="G440" s="120"/>
      <c r="H440" s="120"/>
      <c r="I440" s="10"/>
      <c r="J440" s="6"/>
    </row>
    <row r="441">
      <c r="A441" s="10"/>
      <c r="B441" s="10"/>
      <c r="C441" s="10"/>
      <c r="D441" s="10"/>
      <c r="E441" s="10"/>
      <c r="F441" s="120"/>
      <c r="G441" s="120"/>
      <c r="H441" s="120"/>
      <c r="I441" s="10"/>
      <c r="J441" s="6"/>
    </row>
    <row r="442">
      <c r="A442" s="10"/>
      <c r="B442" s="10"/>
      <c r="C442" s="10"/>
      <c r="D442" s="10"/>
      <c r="E442" s="10"/>
      <c r="F442" s="120"/>
      <c r="G442" s="120"/>
      <c r="H442" s="120"/>
      <c r="I442" s="10"/>
      <c r="J442" s="6"/>
    </row>
    <row r="443">
      <c r="A443" s="10"/>
      <c r="B443" s="10"/>
      <c r="C443" s="10"/>
      <c r="D443" s="10"/>
      <c r="E443" s="10"/>
      <c r="F443" s="120"/>
      <c r="G443" s="120"/>
      <c r="H443" s="120"/>
      <c r="I443" s="10"/>
      <c r="J443" s="6"/>
    </row>
    <row r="444">
      <c r="A444" s="10"/>
      <c r="B444" s="10"/>
      <c r="C444" s="10"/>
      <c r="D444" s="10"/>
      <c r="E444" s="10"/>
      <c r="F444" s="120"/>
      <c r="G444" s="120"/>
      <c r="H444" s="120"/>
      <c r="I444" s="10"/>
      <c r="J444" s="6"/>
    </row>
    <row r="445">
      <c r="A445" s="10"/>
      <c r="B445" s="10"/>
      <c r="C445" s="10"/>
      <c r="D445" s="10"/>
      <c r="E445" s="10"/>
      <c r="F445" s="120"/>
      <c r="G445" s="120"/>
      <c r="H445" s="120"/>
      <c r="I445" s="10"/>
      <c r="J445" s="6"/>
    </row>
    <row r="446">
      <c r="A446" s="10"/>
      <c r="B446" s="10"/>
      <c r="C446" s="10"/>
      <c r="D446" s="10"/>
      <c r="E446" s="10"/>
      <c r="F446" s="120"/>
      <c r="G446" s="120"/>
      <c r="H446" s="120"/>
      <c r="I446" s="10"/>
      <c r="J446" s="6"/>
    </row>
    <row r="447">
      <c r="A447" s="10"/>
      <c r="B447" s="10"/>
      <c r="C447" s="10"/>
      <c r="D447" s="10"/>
      <c r="E447" s="10"/>
      <c r="F447" s="120"/>
      <c r="G447" s="120"/>
      <c r="H447" s="120"/>
      <c r="I447" s="10"/>
      <c r="J447" s="6"/>
    </row>
    <row r="448">
      <c r="A448" s="10"/>
      <c r="B448" s="10"/>
      <c r="C448" s="10"/>
      <c r="D448" s="10"/>
      <c r="E448" s="10"/>
      <c r="F448" s="120"/>
      <c r="G448" s="120"/>
      <c r="H448" s="120"/>
      <c r="I448" s="10"/>
      <c r="J448" s="6"/>
    </row>
    <row r="449">
      <c r="A449" s="10"/>
      <c r="B449" s="10"/>
      <c r="C449" s="10"/>
      <c r="D449" s="10"/>
      <c r="E449" s="10"/>
      <c r="F449" s="120"/>
      <c r="G449" s="120"/>
      <c r="H449" s="120"/>
      <c r="I449" s="10"/>
      <c r="J449" s="6"/>
    </row>
    <row r="450">
      <c r="A450" s="10"/>
      <c r="B450" s="10"/>
      <c r="C450" s="10"/>
      <c r="D450" s="10"/>
      <c r="E450" s="10"/>
      <c r="F450" s="120"/>
      <c r="G450" s="120"/>
      <c r="H450" s="120"/>
      <c r="I450" s="10"/>
      <c r="J450" s="6"/>
    </row>
    <row r="451">
      <c r="A451" s="10"/>
      <c r="B451" s="10"/>
      <c r="C451" s="10"/>
      <c r="D451" s="10"/>
      <c r="E451" s="10"/>
      <c r="F451" s="120"/>
      <c r="G451" s="120"/>
      <c r="H451" s="120"/>
      <c r="I451" s="10"/>
      <c r="J451" s="6"/>
    </row>
    <row r="452">
      <c r="A452" s="10"/>
      <c r="B452" s="10"/>
      <c r="C452" s="10"/>
      <c r="D452" s="10"/>
      <c r="E452" s="10"/>
      <c r="F452" s="120"/>
      <c r="G452" s="120"/>
      <c r="H452" s="120"/>
      <c r="I452" s="10"/>
      <c r="J452" s="6"/>
    </row>
    <row r="453">
      <c r="A453" s="10"/>
      <c r="B453" s="10"/>
      <c r="C453" s="10"/>
      <c r="D453" s="10"/>
      <c r="E453" s="10"/>
      <c r="F453" s="120"/>
      <c r="G453" s="120"/>
      <c r="H453" s="120"/>
      <c r="I453" s="10"/>
      <c r="J453" s="6"/>
    </row>
    <row r="454">
      <c r="A454" s="10"/>
      <c r="B454" s="10"/>
      <c r="C454" s="10"/>
      <c r="D454" s="10"/>
      <c r="E454" s="10"/>
      <c r="F454" s="120"/>
      <c r="G454" s="120"/>
      <c r="H454" s="120"/>
      <c r="I454" s="10"/>
      <c r="J454" s="6"/>
    </row>
    <row r="455">
      <c r="A455" s="10"/>
      <c r="B455" s="10"/>
      <c r="C455" s="10"/>
      <c r="D455" s="10"/>
      <c r="E455" s="10"/>
      <c r="F455" s="120"/>
      <c r="G455" s="120"/>
      <c r="H455" s="120"/>
      <c r="I455" s="10"/>
      <c r="J455" s="6"/>
    </row>
    <row r="456">
      <c r="A456" s="10"/>
      <c r="B456" s="10"/>
      <c r="C456" s="10"/>
      <c r="D456" s="10"/>
      <c r="E456" s="10"/>
      <c r="F456" s="120"/>
      <c r="G456" s="120"/>
      <c r="H456" s="120"/>
      <c r="I456" s="10"/>
      <c r="J456" s="6"/>
    </row>
    <row r="457">
      <c r="A457" s="10"/>
      <c r="B457" s="10"/>
      <c r="C457" s="10"/>
      <c r="D457" s="10"/>
      <c r="E457" s="10"/>
      <c r="F457" s="120"/>
      <c r="G457" s="120"/>
      <c r="H457" s="120"/>
      <c r="I457" s="10"/>
      <c r="J457" s="6"/>
    </row>
    <row r="458">
      <c r="A458" s="10"/>
      <c r="B458" s="10"/>
      <c r="C458" s="10"/>
      <c r="D458" s="10"/>
      <c r="E458" s="10"/>
      <c r="F458" s="120"/>
      <c r="G458" s="120"/>
      <c r="H458" s="120"/>
      <c r="I458" s="10"/>
      <c r="J458" s="6"/>
    </row>
    <row r="459">
      <c r="A459" s="10"/>
      <c r="B459" s="10"/>
      <c r="C459" s="10"/>
      <c r="D459" s="10"/>
      <c r="E459" s="10"/>
      <c r="F459" s="120"/>
      <c r="G459" s="120"/>
      <c r="H459" s="120"/>
      <c r="I459" s="10"/>
      <c r="J459" s="6"/>
    </row>
    <row r="460">
      <c r="A460" s="10"/>
      <c r="B460" s="10"/>
      <c r="C460" s="10"/>
      <c r="D460" s="10"/>
      <c r="E460" s="10"/>
      <c r="F460" s="120"/>
      <c r="G460" s="120"/>
      <c r="H460" s="120"/>
      <c r="I460" s="10"/>
      <c r="J460" s="6"/>
    </row>
    <row r="461">
      <c r="A461" s="10"/>
      <c r="B461" s="10"/>
      <c r="C461" s="10"/>
      <c r="D461" s="10"/>
      <c r="E461" s="10"/>
      <c r="F461" s="120"/>
      <c r="G461" s="120"/>
      <c r="H461" s="120"/>
      <c r="I461" s="10"/>
      <c r="J461" s="6"/>
    </row>
    <row r="462">
      <c r="A462" s="10"/>
      <c r="B462" s="10"/>
      <c r="C462" s="10"/>
      <c r="D462" s="10"/>
      <c r="E462" s="10"/>
      <c r="F462" s="120"/>
      <c r="G462" s="120"/>
      <c r="H462" s="120"/>
      <c r="I462" s="10"/>
      <c r="J462" s="6"/>
    </row>
    <row r="463">
      <c r="A463" s="10"/>
      <c r="B463" s="10"/>
      <c r="C463" s="10"/>
      <c r="D463" s="10"/>
      <c r="E463" s="10"/>
      <c r="F463" s="120"/>
      <c r="G463" s="120"/>
      <c r="H463" s="120"/>
      <c r="I463" s="10"/>
      <c r="J463" s="6"/>
    </row>
    <row r="464">
      <c r="A464" s="10"/>
      <c r="B464" s="10"/>
      <c r="C464" s="10"/>
      <c r="D464" s="10"/>
      <c r="E464" s="10"/>
      <c r="F464" s="120"/>
      <c r="G464" s="120"/>
      <c r="H464" s="120"/>
      <c r="I464" s="10"/>
      <c r="J464" s="6"/>
    </row>
    <row r="465">
      <c r="A465" s="10"/>
      <c r="B465" s="10"/>
      <c r="C465" s="10"/>
      <c r="D465" s="10"/>
      <c r="E465" s="10"/>
      <c r="F465" s="120"/>
      <c r="G465" s="120"/>
      <c r="H465" s="120"/>
      <c r="I465" s="10"/>
      <c r="J465" s="6"/>
    </row>
    <row r="466">
      <c r="A466" s="10"/>
      <c r="B466" s="10"/>
      <c r="C466" s="10"/>
      <c r="D466" s="10"/>
      <c r="E466" s="10"/>
      <c r="F466" s="120"/>
      <c r="G466" s="120"/>
      <c r="H466" s="120"/>
      <c r="I466" s="10"/>
      <c r="J466" s="6"/>
    </row>
    <row r="467">
      <c r="A467" s="10"/>
      <c r="B467" s="10"/>
      <c r="C467" s="10"/>
      <c r="D467" s="10"/>
      <c r="E467" s="10"/>
      <c r="F467" s="120"/>
      <c r="G467" s="120"/>
      <c r="H467" s="120"/>
      <c r="I467" s="10"/>
      <c r="J467" s="6"/>
    </row>
    <row r="468">
      <c r="A468" s="10"/>
      <c r="B468" s="10"/>
      <c r="C468" s="10"/>
      <c r="D468" s="10"/>
      <c r="E468" s="10"/>
      <c r="F468" s="120"/>
      <c r="G468" s="120"/>
      <c r="H468" s="120"/>
      <c r="I468" s="10"/>
      <c r="J468" s="6"/>
    </row>
    <row r="469">
      <c r="A469" s="10"/>
      <c r="B469" s="10"/>
      <c r="C469" s="10"/>
      <c r="D469" s="10"/>
      <c r="E469" s="10"/>
      <c r="F469" s="120"/>
      <c r="G469" s="120"/>
      <c r="H469" s="120"/>
      <c r="I469" s="10"/>
      <c r="J469" s="6"/>
    </row>
    <row r="470">
      <c r="A470" s="10"/>
      <c r="B470" s="10"/>
      <c r="C470" s="10"/>
      <c r="D470" s="10"/>
      <c r="E470" s="10"/>
      <c r="F470" s="120"/>
      <c r="G470" s="120"/>
      <c r="H470" s="120"/>
      <c r="I470" s="10"/>
      <c r="J470" s="6"/>
    </row>
    <row r="471">
      <c r="A471" s="10"/>
      <c r="B471" s="10"/>
      <c r="C471" s="10"/>
      <c r="D471" s="10"/>
      <c r="E471" s="10"/>
      <c r="F471" s="120"/>
      <c r="G471" s="120"/>
      <c r="H471" s="120"/>
      <c r="I471" s="10"/>
      <c r="J471" s="6"/>
    </row>
    <row r="472">
      <c r="A472" s="10"/>
      <c r="B472" s="10"/>
      <c r="C472" s="10"/>
      <c r="D472" s="10"/>
      <c r="E472" s="10"/>
      <c r="F472" s="120"/>
      <c r="G472" s="120"/>
      <c r="H472" s="120"/>
      <c r="I472" s="10"/>
      <c r="J472" s="6"/>
    </row>
    <row r="473">
      <c r="A473" s="10"/>
      <c r="B473" s="10"/>
      <c r="C473" s="10"/>
      <c r="D473" s="10"/>
      <c r="E473" s="10"/>
      <c r="F473" s="120"/>
      <c r="G473" s="120"/>
      <c r="H473" s="120"/>
      <c r="I473" s="10"/>
      <c r="J473" s="6"/>
    </row>
    <row r="474">
      <c r="A474" s="10"/>
      <c r="B474" s="10"/>
      <c r="C474" s="10"/>
      <c r="D474" s="10"/>
      <c r="E474" s="10"/>
      <c r="F474" s="120"/>
      <c r="G474" s="120"/>
      <c r="H474" s="120"/>
      <c r="I474" s="10"/>
      <c r="J474" s="6"/>
    </row>
    <row r="475">
      <c r="A475" s="10"/>
      <c r="B475" s="10"/>
      <c r="C475" s="10"/>
      <c r="D475" s="10"/>
      <c r="E475" s="10"/>
      <c r="F475" s="120"/>
      <c r="G475" s="120"/>
      <c r="H475" s="120"/>
      <c r="I475" s="10"/>
      <c r="J475" s="6"/>
    </row>
    <row r="476">
      <c r="A476" s="10"/>
      <c r="B476" s="10"/>
      <c r="C476" s="10"/>
      <c r="D476" s="10"/>
      <c r="E476" s="10"/>
      <c r="F476" s="120"/>
      <c r="G476" s="120"/>
      <c r="H476" s="120"/>
      <c r="I476" s="10"/>
      <c r="J476" s="6"/>
    </row>
    <row r="477">
      <c r="A477" s="10"/>
      <c r="B477" s="10"/>
      <c r="C477" s="10"/>
      <c r="D477" s="10"/>
      <c r="E477" s="10"/>
      <c r="F477" s="120"/>
      <c r="G477" s="120"/>
      <c r="H477" s="120"/>
      <c r="I477" s="10"/>
      <c r="J477" s="6"/>
    </row>
    <row r="478">
      <c r="A478" s="10"/>
      <c r="B478" s="10"/>
      <c r="C478" s="10"/>
      <c r="D478" s="10"/>
      <c r="E478" s="10"/>
      <c r="F478" s="120"/>
      <c r="G478" s="120"/>
      <c r="H478" s="120"/>
      <c r="I478" s="10"/>
      <c r="J478" s="6"/>
    </row>
    <row r="479">
      <c r="A479" s="10"/>
      <c r="B479" s="10"/>
      <c r="C479" s="10"/>
      <c r="D479" s="10"/>
      <c r="E479" s="10"/>
      <c r="F479" s="120"/>
      <c r="G479" s="120"/>
      <c r="H479" s="120"/>
      <c r="I479" s="10"/>
      <c r="J479" s="6"/>
    </row>
    <row r="480">
      <c r="A480" s="10"/>
      <c r="B480" s="10"/>
      <c r="C480" s="10"/>
      <c r="D480" s="10"/>
      <c r="E480" s="10"/>
      <c r="F480" s="120"/>
      <c r="G480" s="120"/>
      <c r="H480" s="120"/>
      <c r="I480" s="10"/>
      <c r="J480" s="6"/>
    </row>
    <row r="481">
      <c r="A481" s="10"/>
      <c r="B481" s="10"/>
      <c r="C481" s="10"/>
      <c r="D481" s="10"/>
      <c r="E481" s="10"/>
      <c r="F481" s="120"/>
      <c r="G481" s="120"/>
      <c r="H481" s="120"/>
      <c r="I481" s="10"/>
      <c r="J481" s="6"/>
    </row>
    <row r="482">
      <c r="A482" s="10"/>
      <c r="B482" s="10"/>
      <c r="C482" s="10"/>
      <c r="D482" s="10"/>
      <c r="E482" s="10"/>
      <c r="F482" s="120"/>
      <c r="G482" s="120"/>
      <c r="H482" s="120"/>
      <c r="I482" s="10"/>
      <c r="J482" s="6"/>
    </row>
    <row r="483">
      <c r="A483" s="10"/>
      <c r="B483" s="10"/>
      <c r="C483" s="10"/>
      <c r="D483" s="10"/>
      <c r="E483" s="10"/>
      <c r="F483" s="120"/>
      <c r="G483" s="120"/>
      <c r="H483" s="120"/>
      <c r="I483" s="10"/>
      <c r="J483" s="6"/>
    </row>
    <row r="484">
      <c r="A484" s="10"/>
      <c r="B484" s="10"/>
      <c r="C484" s="10"/>
      <c r="D484" s="10"/>
      <c r="E484" s="10"/>
      <c r="F484" s="120"/>
      <c r="G484" s="120"/>
      <c r="H484" s="120"/>
      <c r="I484" s="10"/>
      <c r="J484" s="6"/>
    </row>
    <row r="485">
      <c r="A485" s="10"/>
      <c r="B485" s="10"/>
      <c r="C485" s="10"/>
      <c r="D485" s="10"/>
      <c r="E485" s="10"/>
      <c r="F485" s="120"/>
      <c r="G485" s="120"/>
      <c r="H485" s="120"/>
      <c r="I485" s="10"/>
      <c r="J485" s="6"/>
    </row>
    <row r="486">
      <c r="A486" s="10"/>
      <c r="B486" s="10"/>
      <c r="C486" s="10"/>
      <c r="D486" s="10"/>
      <c r="E486" s="10"/>
      <c r="F486" s="120"/>
      <c r="G486" s="120"/>
      <c r="H486" s="120"/>
      <c r="I486" s="10"/>
      <c r="J486" s="6"/>
    </row>
    <row r="487">
      <c r="A487" s="10"/>
      <c r="B487" s="10"/>
      <c r="C487" s="10"/>
      <c r="D487" s="10"/>
      <c r="E487" s="10"/>
      <c r="F487" s="120"/>
      <c r="G487" s="120"/>
      <c r="H487" s="120"/>
      <c r="I487" s="10"/>
      <c r="J487" s="6"/>
    </row>
    <row r="488">
      <c r="A488" s="10"/>
      <c r="B488" s="10"/>
      <c r="C488" s="10"/>
      <c r="D488" s="10"/>
      <c r="E488" s="10"/>
      <c r="F488" s="120"/>
      <c r="G488" s="120"/>
      <c r="H488" s="120"/>
      <c r="I488" s="10"/>
      <c r="J488" s="6"/>
    </row>
    <row r="489">
      <c r="A489" s="10"/>
      <c r="B489" s="10"/>
      <c r="C489" s="10"/>
      <c r="D489" s="10"/>
      <c r="E489" s="10"/>
      <c r="F489" s="120"/>
      <c r="G489" s="120"/>
      <c r="H489" s="120"/>
      <c r="I489" s="10"/>
      <c r="J489" s="6"/>
    </row>
    <row r="490">
      <c r="A490" s="10"/>
      <c r="B490" s="10"/>
      <c r="C490" s="10"/>
      <c r="D490" s="10"/>
      <c r="E490" s="10"/>
      <c r="F490" s="120"/>
      <c r="G490" s="120"/>
      <c r="H490" s="120"/>
      <c r="I490" s="10"/>
      <c r="J490" s="6"/>
    </row>
    <row r="491">
      <c r="A491" s="10"/>
      <c r="B491" s="10"/>
      <c r="C491" s="10"/>
      <c r="D491" s="10"/>
      <c r="E491" s="10"/>
      <c r="F491" s="120"/>
      <c r="G491" s="120"/>
      <c r="H491" s="120"/>
      <c r="I491" s="10"/>
      <c r="J491" s="6"/>
    </row>
    <row r="492">
      <c r="A492" s="10"/>
      <c r="B492" s="10"/>
      <c r="C492" s="10"/>
      <c r="D492" s="10"/>
      <c r="E492" s="10"/>
      <c r="F492" s="120"/>
      <c r="G492" s="120"/>
      <c r="H492" s="120"/>
      <c r="I492" s="10"/>
      <c r="J492" s="6"/>
    </row>
    <row r="493">
      <c r="A493" s="10"/>
      <c r="B493" s="10"/>
      <c r="C493" s="10"/>
      <c r="D493" s="10"/>
      <c r="E493" s="10"/>
      <c r="F493" s="120"/>
      <c r="G493" s="120"/>
      <c r="H493" s="120"/>
      <c r="I493" s="10"/>
      <c r="J493" s="6"/>
    </row>
    <row r="494">
      <c r="A494" s="10"/>
      <c r="B494" s="10"/>
      <c r="C494" s="10"/>
      <c r="D494" s="10"/>
      <c r="E494" s="10"/>
      <c r="F494" s="120"/>
      <c r="G494" s="120"/>
      <c r="H494" s="120"/>
      <c r="I494" s="10"/>
      <c r="J494" s="6"/>
    </row>
    <row r="495">
      <c r="A495" s="10"/>
      <c r="B495" s="10"/>
      <c r="C495" s="10"/>
      <c r="D495" s="10"/>
      <c r="E495" s="10"/>
      <c r="F495" s="120"/>
      <c r="G495" s="120"/>
      <c r="H495" s="120"/>
      <c r="I495" s="10"/>
      <c r="J495" s="6"/>
    </row>
    <row r="496">
      <c r="A496" s="10"/>
      <c r="B496" s="10"/>
      <c r="C496" s="10"/>
      <c r="D496" s="10"/>
      <c r="E496" s="10"/>
      <c r="F496" s="120"/>
      <c r="G496" s="120"/>
      <c r="H496" s="120"/>
      <c r="I496" s="10"/>
      <c r="J496" s="6"/>
    </row>
    <row r="497">
      <c r="A497" s="10"/>
      <c r="B497" s="10"/>
      <c r="C497" s="10"/>
      <c r="D497" s="10"/>
      <c r="E497" s="10"/>
      <c r="F497" s="120"/>
      <c r="G497" s="120"/>
      <c r="H497" s="120"/>
      <c r="I497" s="10"/>
      <c r="J497" s="6"/>
    </row>
    <row r="498">
      <c r="A498" s="10"/>
      <c r="B498" s="10"/>
      <c r="C498" s="10"/>
      <c r="D498" s="10"/>
      <c r="E498" s="10"/>
      <c r="F498" s="120"/>
      <c r="G498" s="120"/>
      <c r="H498" s="120"/>
      <c r="I498" s="10"/>
      <c r="J498" s="6"/>
    </row>
    <row r="499">
      <c r="A499" s="10"/>
      <c r="B499" s="10"/>
      <c r="C499" s="10"/>
      <c r="D499" s="10"/>
      <c r="E499" s="10"/>
      <c r="F499" s="120"/>
      <c r="G499" s="120"/>
      <c r="H499" s="120"/>
      <c r="I499" s="10"/>
      <c r="J499" s="6"/>
    </row>
    <row r="500">
      <c r="A500" s="10"/>
      <c r="B500" s="10"/>
      <c r="C500" s="10"/>
      <c r="D500" s="10"/>
      <c r="E500" s="10"/>
      <c r="F500" s="120"/>
      <c r="G500" s="120"/>
      <c r="H500" s="120"/>
      <c r="I500" s="10"/>
      <c r="J500" s="6"/>
    </row>
    <row r="501">
      <c r="A501" s="10"/>
      <c r="B501" s="10"/>
      <c r="C501" s="10"/>
      <c r="D501" s="10"/>
      <c r="E501" s="10"/>
      <c r="F501" s="120"/>
      <c r="G501" s="120"/>
      <c r="H501" s="120"/>
      <c r="I501" s="10"/>
      <c r="J501" s="6"/>
    </row>
    <row r="502">
      <c r="A502" s="10"/>
      <c r="B502" s="10"/>
      <c r="C502" s="10"/>
      <c r="D502" s="10"/>
      <c r="E502" s="10"/>
      <c r="F502" s="120"/>
      <c r="G502" s="120"/>
      <c r="H502" s="120"/>
      <c r="I502" s="10"/>
      <c r="J502" s="6"/>
    </row>
    <row r="503">
      <c r="A503" s="10"/>
      <c r="B503" s="10"/>
      <c r="C503" s="10"/>
      <c r="D503" s="10"/>
      <c r="E503" s="10"/>
      <c r="F503" s="120"/>
      <c r="G503" s="120"/>
      <c r="H503" s="120"/>
      <c r="I503" s="10"/>
      <c r="J503" s="6"/>
    </row>
    <row r="504">
      <c r="A504" s="10"/>
      <c r="B504" s="10"/>
      <c r="C504" s="10"/>
      <c r="D504" s="10"/>
      <c r="E504" s="10"/>
      <c r="F504" s="120"/>
      <c r="G504" s="120"/>
      <c r="H504" s="120"/>
      <c r="I504" s="10"/>
      <c r="J504" s="6"/>
    </row>
    <row r="505">
      <c r="A505" s="10"/>
      <c r="B505" s="10"/>
      <c r="C505" s="10"/>
      <c r="D505" s="10"/>
      <c r="E505" s="10"/>
      <c r="F505" s="120"/>
      <c r="G505" s="120"/>
      <c r="H505" s="120"/>
      <c r="I505" s="10"/>
      <c r="J505" s="6"/>
    </row>
    <row r="506">
      <c r="A506" s="10"/>
      <c r="B506" s="10"/>
      <c r="C506" s="10"/>
      <c r="D506" s="10"/>
      <c r="E506" s="10"/>
      <c r="F506" s="120"/>
      <c r="G506" s="120"/>
      <c r="H506" s="120"/>
      <c r="I506" s="10"/>
      <c r="J506" s="6"/>
    </row>
    <row r="507">
      <c r="A507" s="10"/>
      <c r="B507" s="10"/>
      <c r="C507" s="10"/>
      <c r="D507" s="10"/>
      <c r="E507" s="10"/>
      <c r="F507" s="120"/>
      <c r="G507" s="120"/>
      <c r="H507" s="120"/>
      <c r="I507" s="10"/>
      <c r="J507" s="6"/>
    </row>
    <row r="508">
      <c r="A508" s="10"/>
      <c r="B508" s="10"/>
      <c r="C508" s="10"/>
      <c r="D508" s="10"/>
      <c r="E508" s="10"/>
      <c r="F508" s="120"/>
      <c r="G508" s="120"/>
      <c r="H508" s="120"/>
      <c r="I508" s="10"/>
      <c r="J508" s="6"/>
    </row>
    <row r="509">
      <c r="A509" s="10"/>
      <c r="B509" s="10"/>
      <c r="C509" s="10"/>
      <c r="D509" s="10"/>
      <c r="E509" s="10"/>
      <c r="F509" s="120"/>
      <c r="G509" s="120"/>
      <c r="H509" s="120"/>
      <c r="I509" s="10"/>
      <c r="J509" s="6"/>
    </row>
    <row r="510">
      <c r="A510" s="10"/>
      <c r="B510" s="10"/>
      <c r="C510" s="10"/>
      <c r="D510" s="10"/>
      <c r="E510" s="10"/>
      <c r="F510" s="120"/>
      <c r="G510" s="120"/>
      <c r="H510" s="120"/>
      <c r="I510" s="10"/>
      <c r="J510" s="6"/>
    </row>
    <row r="511">
      <c r="A511" s="10"/>
      <c r="B511" s="10"/>
      <c r="C511" s="10"/>
      <c r="D511" s="10"/>
      <c r="E511" s="10"/>
      <c r="F511" s="120"/>
      <c r="G511" s="120"/>
      <c r="H511" s="120"/>
      <c r="I511" s="10"/>
      <c r="J511" s="6"/>
    </row>
    <row r="512">
      <c r="A512" s="10"/>
      <c r="B512" s="10"/>
      <c r="C512" s="10"/>
      <c r="D512" s="10"/>
      <c r="E512" s="10"/>
      <c r="F512" s="120"/>
      <c r="G512" s="120"/>
      <c r="H512" s="120"/>
      <c r="I512" s="10"/>
      <c r="J512" s="6"/>
    </row>
    <row r="513">
      <c r="A513" s="10"/>
      <c r="B513" s="10"/>
      <c r="C513" s="10"/>
      <c r="D513" s="10"/>
      <c r="E513" s="10"/>
      <c r="F513" s="120"/>
      <c r="G513" s="120"/>
      <c r="H513" s="120"/>
      <c r="I513" s="10"/>
      <c r="J513" s="6"/>
    </row>
    <row r="514">
      <c r="A514" s="10"/>
      <c r="B514" s="10"/>
      <c r="C514" s="10"/>
      <c r="D514" s="10"/>
      <c r="E514" s="10"/>
      <c r="F514" s="120"/>
      <c r="G514" s="120"/>
      <c r="H514" s="120"/>
      <c r="I514" s="10"/>
      <c r="J514" s="6"/>
    </row>
    <row r="515">
      <c r="A515" s="10"/>
      <c r="B515" s="10"/>
      <c r="C515" s="10"/>
      <c r="D515" s="10"/>
      <c r="E515" s="10"/>
      <c r="F515" s="120"/>
      <c r="G515" s="120"/>
      <c r="H515" s="120"/>
      <c r="I515" s="10"/>
      <c r="J515" s="6"/>
    </row>
    <row r="516">
      <c r="A516" s="10"/>
      <c r="B516" s="10"/>
      <c r="C516" s="10"/>
      <c r="D516" s="10"/>
      <c r="E516" s="10"/>
      <c r="F516" s="120"/>
      <c r="G516" s="120"/>
      <c r="H516" s="120"/>
      <c r="I516" s="10"/>
      <c r="J516" s="6"/>
    </row>
    <row r="517">
      <c r="A517" s="10"/>
      <c r="B517" s="10"/>
      <c r="C517" s="10"/>
      <c r="D517" s="10"/>
      <c r="E517" s="10"/>
      <c r="F517" s="120"/>
      <c r="G517" s="120"/>
      <c r="H517" s="120"/>
      <c r="I517" s="10"/>
      <c r="J517" s="6"/>
    </row>
    <row r="518">
      <c r="A518" s="10"/>
      <c r="B518" s="10"/>
      <c r="C518" s="10"/>
      <c r="D518" s="10"/>
      <c r="E518" s="10"/>
      <c r="F518" s="120"/>
      <c r="G518" s="120"/>
      <c r="H518" s="120"/>
      <c r="I518" s="10"/>
      <c r="J518" s="6"/>
    </row>
    <row r="519">
      <c r="A519" s="10"/>
      <c r="B519" s="10"/>
      <c r="C519" s="10"/>
      <c r="D519" s="10"/>
      <c r="E519" s="10"/>
      <c r="F519" s="120"/>
      <c r="G519" s="120"/>
      <c r="H519" s="120"/>
      <c r="I519" s="10"/>
      <c r="J519" s="6"/>
    </row>
    <row r="520">
      <c r="A520" s="10"/>
      <c r="B520" s="10"/>
      <c r="C520" s="10"/>
      <c r="D520" s="10"/>
      <c r="E520" s="10"/>
      <c r="F520" s="120"/>
      <c r="G520" s="120"/>
      <c r="H520" s="120"/>
      <c r="I520" s="10"/>
      <c r="J520" s="6"/>
    </row>
    <row r="521">
      <c r="A521" s="10"/>
      <c r="B521" s="10"/>
      <c r="C521" s="10"/>
      <c r="D521" s="10"/>
      <c r="E521" s="10"/>
      <c r="F521" s="120"/>
      <c r="G521" s="120"/>
      <c r="H521" s="120"/>
      <c r="I521" s="10"/>
      <c r="J521" s="6"/>
    </row>
    <row r="522">
      <c r="A522" s="10"/>
      <c r="B522" s="10"/>
      <c r="C522" s="10"/>
      <c r="D522" s="10"/>
      <c r="E522" s="10"/>
      <c r="F522" s="120"/>
      <c r="G522" s="120"/>
      <c r="H522" s="120"/>
      <c r="I522" s="10"/>
      <c r="J522" s="6"/>
    </row>
    <row r="523">
      <c r="A523" s="10"/>
      <c r="B523" s="10"/>
      <c r="C523" s="10"/>
      <c r="D523" s="10"/>
      <c r="E523" s="10"/>
      <c r="F523" s="120"/>
      <c r="G523" s="120"/>
      <c r="H523" s="120"/>
      <c r="I523" s="10"/>
      <c r="J523" s="6"/>
    </row>
    <row r="524">
      <c r="A524" s="10"/>
      <c r="B524" s="10"/>
      <c r="C524" s="10"/>
      <c r="D524" s="10"/>
      <c r="E524" s="10"/>
      <c r="F524" s="120"/>
      <c r="G524" s="120"/>
      <c r="H524" s="120"/>
      <c r="I524" s="10"/>
      <c r="J524" s="6"/>
    </row>
    <row r="525">
      <c r="A525" s="10"/>
      <c r="B525" s="10"/>
      <c r="C525" s="10"/>
      <c r="D525" s="10"/>
      <c r="E525" s="10"/>
      <c r="F525" s="120"/>
      <c r="G525" s="120"/>
      <c r="H525" s="120"/>
      <c r="I525" s="10"/>
      <c r="J525" s="6"/>
    </row>
    <row r="526">
      <c r="A526" s="10"/>
      <c r="B526" s="10"/>
      <c r="C526" s="10"/>
      <c r="D526" s="10"/>
      <c r="E526" s="10"/>
      <c r="F526" s="120"/>
      <c r="G526" s="120"/>
      <c r="H526" s="120"/>
      <c r="I526" s="10"/>
      <c r="J526" s="6"/>
    </row>
    <row r="527">
      <c r="A527" s="10"/>
      <c r="B527" s="10"/>
      <c r="C527" s="10"/>
      <c r="D527" s="10"/>
      <c r="E527" s="10"/>
      <c r="F527" s="120"/>
      <c r="G527" s="120"/>
      <c r="H527" s="120"/>
      <c r="I527" s="10"/>
      <c r="J527" s="6"/>
    </row>
    <row r="528">
      <c r="A528" s="10"/>
      <c r="B528" s="10"/>
      <c r="C528" s="10"/>
      <c r="D528" s="10"/>
      <c r="E528" s="10"/>
      <c r="F528" s="120"/>
      <c r="G528" s="120"/>
      <c r="H528" s="120"/>
      <c r="I528" s="10"/>
      <c r="J528" s="6"/>
    </row>
    <row r="529">
      <c r="A529" s="10"/>
      <c r="B529" s="10"/>
      <c r="C529" s="10"/>
      <c r="D529" s="10"/>
      <c r="E529" s="10"/>
      <c r="F529" s="120"/>
      <c r="G529" s="120"/>
      <c r="H529" s="120"/>
      <c r="I529" s="10"/>
      <c r="J529" s="6"/>
    </row>
    <row r="530">
      <c r="A530" s="10"/>
      <c r="B530" s="10"/>
      <c r="C530" s="10"/>
      <c r="D530" s="10"/>
      <c r="E530" s="10"/>
      <c r="F530" s="120"/>
      <c r="G530" s="120"/>
      <c r="H530" s="120"/>
      <c r="I530" s="10"/>
      <c r="J530" s="6"/>
    </row>
    <row r="531">
      <c r="A531" s="10"/>
      <c r="B531" s="10"/>
      <c r="C531" s="10"/>
      <c r="D531" s="10"/>
      <c r="E531" s="10"/>
      <c r="F531" s="120"/>
      <c r="G531" s="120"/>
      <c r="H531" s="120"/>
      <c r="I531" s="10"/>
      <c r="J531" s="6"/>
    </row>
    <row r="532">
      <c r="A532" s="10"/>
      <c r="B532" s="10"/>
      <c r="C532" s="10"/>
      <c r="D532" s="10"/>
      <c r="E532" s="10"/>
      <c r="F532" s="120"/>
      <c r="G532" s="120"/>
      <c r="H532" s="120"/>
      <c r="I532" s="10"/>
      <c r="J532" s="6"/>
    </row>
    <row r="533">
      <c r="A533" s="10"/>
      <c r="B533" s="10"/>
      <c r="C533" s="10"/>
      <c r="D533" s="10"/>
      <c r="E533" s="10"/>
      <c r="F533" s="120"/>
      <c r="G533" s="120"/>
      <c r="H533" s="120"/>
      <c r="I533" s="10"/>
      <c r="J533" s="6"/>
    </row>
    <row r="534">
      <c r="A534" s="10"/>
      <c r="B534" s="10"/>
      <c r="C534" s="10"/>
      <c r="D534" s="10"/>
      <c r="E534" s="10"/>
      <c r="F534" s="120"/>
      <c r="G534" s="120"/>
      <c r="H534" s="120"/>
      <c r="I534" s="10"/>
      <c r="J534" s="6"/>
    </row>
    <row r="535">
      <c r="A535" s="10"/>
      <c r="B535" s="10"/>
      <c r="C535" s="10"/>
      <c r="D535" s="10"/>
      <c r="E535" s="10"/>
      <c r="F535" s="120"/>
      <c r="G535" s="120"/>
      <c r="H535" s="120"/>
      <c r="I535" s="10"/>
      <c r="J535" s="6"/>
    </row>
    <row r="536">
      <c r="A536" s="10"/>
      <c r="B536" s="10"/>
      <c r="C536" s="10"/>
      <c r="D536" s="10"/>
      <c r="E536" s="10"/>
      <c r="F536" s="120"/>
      <c r="G536" s="120"/>
      <c r="H536" s="120"/>
      <c r="I536" s="10"/>
      <c r="J536" s="6"/>
    </row>
    <row r="537">
      <c r="A537" s="10"/>
      <c r="B537" s="10"/>
      <c r="C537" s="10"/>
      <c r="D537" s="10"/>
      <c r="E537" s="10"/>
      <c r="F537" s="120"/>
      <c r="G537" s="120"/>
      <c r="H537" s="120"/>
      <c r="I537" s="10"/>
      <c r="J537" s="6"/>
    </row>
    <row r="538">
      <c r="A538" s="10"/>
      <c r="B538" s="10"/>
      <c r="C538" s="10"/>
      <c r="D538" s="10"/>
      <c r="E538" s="10"/>
      <c r="F538" s="120"/>
      <c r="G538" s="120"/>
      <c r="H538" s="120"/>
      <c r="I538" s="10"/>
      <c r="J538" s="6"/>
    </row>
    <row r="539">
      <c r="A539" s="10"/>
      <c r="B539" s="10"/>
      <c r="C539" s="10"/>
      <c r="D539" s="10"/>
      <c r="E539" s="10"/>
      <c r="F539" s="120"/>
      <c r="G539" s="120"/>
      <c r="H539" s="120"/>
      <c r="I539" s="10"/>
      <c r="J539" s="6"/>
    </row>
    <row r="540">
      <c r="A540" s="10"/>
      <c r="B540" s="10"/>
      <c r="C540" s="10"/>
      <c r="D540" s="10"/>
      <c r="E540" s="10"/>
      <c r="F540" s="120"/>
      <c r="G540" s="120"/>
      <c r="H540" s="120"/>
      <c r="I540" s="10"/>
      <c r="J540" s="6"/>
    </row>
    <row r="541">
      <c r="A541" s="10"/>
      <c r="B541" s="10"/>
      <c r="C541" s="10"/>
      <c r="D541" s="10"/>
      <c r="E541" s="10"/>
      <c r="F541" s="120"/>
      <c r="G541" s="120"/>
      <c r="H541" s="120"/>
      <c r="I541" s="10"/>
      <c r="J541" s="6"/>
    </row>
    <row r="542">
      <c r="A542" s="10"/>
      <c r="B542" s="10"/>
      <c r="C542" s="10"/>
      <c r="D542" s="10"/>
      <c r="E542" s="10"/>
      <c r="F542" s="120"/>
      <c r="G542" s="120"/>
      <c r="H542" s="120"/>
      <c r="I542" s="10"/>
      <c r="J542" s="6"/>
    </row>
    <row r="543">
      <c r="A543" s="10"/>
      <c r="B543" s="10"/>
      <c r="C543" s="10"/>
      <c r="D543" s="10"/>
      <c r="E543" s="10"/>
      <c r="F543" s="120"/>
      <c r="G543" s="120"/>
      <c r="H543" s="120"/>
      <c r="I543" s="10"/>
      <c r="J543" s="6"/>
    </row>
    <row r="544">
      <c r="A544" s="10"/>
      <c r="B544" s="10"/>
      <c r="C544" s="10"/>
      <c r="D544" s="10"/>
      <c r="E544" s="10"/>
      <c r="F544" s="120"/>
      <c r="G544" s="120"/>
      <c r="H544" s="120"/>
      <c r="I544" s="10"/>
      <c r="J544" s="6"/>
    </row>
    <row r="545">
      <c r="A545" s="10"/>
      <c r="B545" s="10"/>
      <c r="C545" s="10"/>
      <c r="D545" s="10"/>
      <c r="E545" s="10"/>
      <c r="F545" s="120"/>
      <c r="G545" s="120"/>
      <c r="H545" s="120"/>
      <c r="I545" s="10"/>
      <c r="J545" s="6"/>
    </row>
    <row r="546">
      <c r="A546" s="10"/>
      <c r="B546" s="10"/>
      <c r="C546" s="10"/>
      <c r="D546" s="10"/>
      <c r="E546" s="10"/>
      <c r="F546" s="120"/>
      <c r="G546" s="120"/>
      <c r="H546" s="120"/>
      <c r="I546" s="10"/>
      <c r="J546" s="6"/>
    </row>
    <row r="547">
      <c r="A547" s="10"/>
      <c r="B547" s="10"/>
      <c r="C547" s="10"/>
      <c r="D547" s="10"/>
      <c r="E547" s="10"/>
      <c r="F547" s="120"/>
      <c r="G547" s="120"/>
      <c r="H547" s="120"/>
      <c r="I547" s="10"/>
      <c r="J547" s="6"/>
    </row>
    <row r="548">
      <c r="A548" s="10"/>
      <c r="B548" s="10"/>
      <c r="C548" s="10"/>
      <c r="D548" s="10"/>
      <c r="E548" s="10"/>
      <c r="F548" s="120"/>
      <c r="G548" s="120"/>
      <c r="H548" s="120"/>
      <c r="I548" s="10"/>
      <c r="J548" s="6"/>
    </row>
    <row r="549">
      <c r="A549" s="10"/>
      <c r="B549" s="10"/>
      <c r="C549" s="10"/>
      <c r="D549" s="10"/>
      <c r="E549" s="10"/>
      <c r="F549" s="120"/>
      <c r="G549" s="120"/>
      <c r="H549" s="120"/>
      <c r="I549" s="10"/>
      <c r="J549" s="6"/>
    </row>
    <row r="550">
      <c r="A550" s="10"/>
      <c r="B550" s="10"/>
      <c r="C550" s="10"/>
      <c r="D550" s="10"/>
      <c r="E550" s="10"/>
      <c r="F550" s="120"/>
      <c r="G550" s="120"/>
      <c r="H550" s="120"/>
      <c r="I550" s="10"/>
      <c r="J550" s="6"/>
    </row>
    <row r="551">
      <c r="A551" s="10"/>
      <c r="B551" s="10"/>
      <c r="C551" s="10"/>
      <c r="D551" s="10"/>
      <c r="E551" s="10"/>
      <c r="F551" s="120"/>
      <c r="G551" s="120"/>
      <c r="H551" s="120"/>
      <c r="I551" s="10"/>
      <c r="J551" s="6"/>
    </row>
    <row r="552">
      <c r="A552" s="10"/>
      <c r="B552" s="10"/>
      <c r="C552" s="10"/>
      <c r="D552" s="10"/>
      <c r="E552" s="10"/>
      <c r="F552" s="120"/>
      <c r="G552" s="120"/>
      <c r="H552" s="120"/>
      <c r="I552" s="10"/>
      <c r="J552" s="6"/>
    </row>
    <row r="553">
      <c r="A553" s="10"/>
      <c r="B553" s="10"/>
      <c r="C553" s="10"/>
      <c r="D553" s="10"/>
      <c r="E553" s="10"/>
      <c r="F553" s="120"/>
      <c r="G553" s="120"/>
      <c r="H553" s="120"/>
      <c r="I553" s="10"/>
      <c r="J553" s="6"/>
    </row>
    <row r="554">
      <c r="A554" s="10"/>
      <c r="B554" s="10"/>
      <c r="C554" s="10"/>
      <c r="D554" s="10"/>
      <c r="E554" s="10"/>
      <c r="F554" s="120"/>
      <c r="G554" s="120"/>
      <c r="H554" s="120"/>
      <c r="I554" s="10"/>
      <c r="J554" s="6"/>
    </row>
    <row r="555">
      <c r="A555" s="10"/>
      <c r="B555" s="10"/>
      <c r="C555" s="10"/>
      <c r="D555" s="10"/>
      <c r="E555" s="10"/>
      <c r="F555" s="120"/>
      <c r="G555" s="120"/>
      <c r="H555" s="120"/>
      <c r="I555" s="10"/>
      <c r="J555" s="6"/>
    </row>
    <row r="556">
      <c r="A556" s="10"/>
      <c r="B556" s="10"/>
      <c r="C556" s="10"/>
      <c r="D556" s="10"/>
      <c r="E556" s="10"/>
      <c r="F556" s="120"/>
      <c r="G556" s="120"/>
      <c r="H556" s="120"/>
      <c r="I556" s="10"/>
      <c r="J556" s="6"/>
    </row>
    <row r="557">
      <c r="A557" s="10"/>
      <c r="B557" s="10"/>
      <c r="C557" s="10"/>
      <c r="D557" s="10"/>
      <c r="E557" s="10"/>
      <c r="F557" s="120"/>
      <c r="G557" s="120"/>
      <c r="H557" s="120"/>
      <c r="I557" s="10"/>
      <c r="J557" s="6"/>
    </row>
    <row r="558">
      <c r="A558" s="10"/>
      <c r="B558" s="10"/>
      <c r="C558" s="10"/>
      <c r="D558" s="10"/>
      <c r="E558" s="10"/>
      <c r="F558" s="120"/>
      <c r="G558" s="120"/>
      <c r="H558" s="120"/>
      <c r="I558" s="10"/>
      <c r="J558" s="6"/>
    </row>
    <row r="559">
      <c r="A559" s="10"/>
      <c r="B559" s="10"/>
      <c r="C559" s="10"/>
      <c r="D559" s="10"/>
      <c r="E559" s="10"/>
      <c r="F559" s="120"/>
      <c r="G559" s="120"/>
      <c r="H559" s="120"/>
      <c r="I559" s="10"/>
      <c r="J559" s="6"/>
    </row>
    <row r="560">
      <c r="A560" s="10"/>
      <c r="B560" s="10"/>
      <c r="C560" s="10"/>
      <c r="D560" s="10"/>
      <c r="E560" s="10"/>
      <c r="F560" s="120"/>
      <c r="G560" s="120"/>
      <c r="H560" s="120"/>
      <c r="I560" s="10"/>
      <c r="J560" s="6"/>
    </row>
    <row r="561">
      <c r="A561" s="10"/>
      <c r="B561" s="10"/>
      <c r="C561" s="10"/>
      <c r="D561" s="10"/>
      <c r="E561" s="10"/>
      <c r="F561" s="120"/>
      <c r="G561" s="120"/>
      <c r="H561" s="120"/>
      <c r="I561" s="10"/>
      <c r="J561" s="6"/>
    </row>
    <row r="562">
      <c r="A562" s="10"/>
      <c r="B562" s="10"/>
      <c r="C562" s="10"/>
      <c r="D562" s="10"/>
      <c r="E562" s="10"/>
      <c r="F562" s="120"/>
      <c r="G562" s="120"/>
      <c r="H562" s="120"/>
      <c r="I562" s="10"/>
      <c r="J562" s="6"/>
    </row>
    <row r="563">
      <c r="A563" s="10"/>
      <c r="B563" s="10"/>
      <c r="C563" s="10"/>
      <c r="D563" s="10"/>
      <c r="E563" s="10"/>
      <c r="F563" s="120"/>
      <c r="G563" s="120"/>
      <c r="H563" s="120"/>
      <c r="I563" s="10"/>
      <c r="J563" s="6"/>
    </row>
    <row r="564">
      <c r="A564" s="10"/>
      <c r="B564" s="10"/>
      <c r="C564" s="10"/>
      <c r="D564" s="10"/>
      <c r="E564" s="10"/>
      <c r="F564" s="120"/>
      <c r="G564" s="120"/>
      <c r="H564" s="120"/>
      <c r="I564" s="10"/>
      <c r="J564" s="6"/>
    </row>
    <row r="565">
      <c r="A565" s="10"/>
      <c r="B565" s="10"/>
      <c r="C565" s="10"/>
      <c r="D565" s="10"/>
      <c r="E565" s="10"/>
      <c r="F565" s="120"/>
      <c r="G565" s="120"/>
      <c r="H565" s="120"/>
      <c r="I565" s="10"/>
      <c r="J565" s="6"/>
    </row>
    <row r="566">
      <c r="A566" s="10"/>
      <c r="B566" s="10"/>
      <c r="C566" s="10"/>
      <c r="D566" s="10"/>
      <c r="E566" s="10"/>
      <c r="F566" s="120"/>
      <c r="G566" s="120"/>
      <c r="H566" s="120"/>
      <c r="I566" s="10"/>
      <c r="J566" s="6"/>
    </row>
    <row r="567">
      <c r="A567" s="10"/>
      <c r="B567" s="10"/>
      <c r="C567" s="10"/>
      <c r="D567" s="10"/>
      <c r="E567" s="10"/>
      <c r="F567" s="120"/>
      <c r="G567" s="120"/>
      <c r="H567" s="120"/>
      <c r="I567" s="10"/>
      <c r="J567" s="6"/>
    </row>
    <row r="568">
      <c r="A568" s="10"/>
      <c r="B568" s="10"/>
      <c r="C568" s="10"/>
      <c r="D568" s="10"/>
      <c r="E568" s="10"/>
      <c r="F568" s="120"/>
      <c r="G568" s="120"/>
      <c r="H568" s="120"/>
      <c r="I568" s="10"/>
      <c r="J568" s="6"/>
    </row>
    <row r="569">
      <c r="A569" s="10"/>
      <c r="B569" s="10"/>
      <c r="C569" s="10"/>
      <c r="D569" s="10"/>
      <c r="E569" s="10"/>
      <c r="F569" s="120"/>
      <c r="G569" s="120"/>
      <c r="H569" s="120"/>
      <c r="I569" s="10"/>
      <c r="J569" s="6"/>
    </row>
    <row r="570">
      <c r="A570" s="10"/>
      <c r="B570" s="10"/>
      <c r="C570" s="10"/>
      <c r="D570" s="10"/>
      <c r="E570" s="10"/>
      <c r="F570" s="120"/>
      <c r="G570" s="120"/>
      <c r="H570" s="120"/>
      <c r="I570" s="10"/>
      <c r="J570" s="6"/>
    </row>
    <row r="571">
      <c r="A571" s="10"/>
      <c r="B571" s="10"/>
      <c r="C571" s="10"/>
      <c r="D571" s="10"/>
      <c r="E571" s="10"/>
      <c r="F571" s="120"/>
      <c r="G571" s="120"/>
      <c r="H571" s="120"/>
      <c r="I571" s="10"/>
      <c r="J571" s="6"/>
    </row>
    <row r="572">
      <c r="A572" s="10"/>
      <c r="B572" s="10"/>
      <c r="C572" s="10"/>
      <c r="D572" s="10"/>
      <c r="E572" s="10"/>
      <c r="F572" s="120"/>
      <c r="G572" s="120"/>
      <c r="H572" s="120"/>
      <c r="I572" s="10"/>
      <c r="J572" s="6"/>
    </row>
    <row r="573">
      <c r="A573" s="10"/>
      <c r="B573" s="10"/>
      <c r="C573" s="10"/>
      <c r="D573" s="10"/>
      <c r="E573" s="10"/>
      <c r="F573" s="120"/>
      <c r="G573" s="120"/>
      <c r="H573" s="120"/>
      <c r="I573" s="10"/>
      <c r="J573" s="6"/>
    </row>
    <row r="574">
      <c r="A574" s="10"/>
      <c r="B574" s="10"/>
      <c r="C574" s="10"/>
      <c r="D574" s="10"/>
      <c r="E574" s="10"/>
      <c r="F574" s="120"/>
      <c r="G574" s="120"/>
      <c r="H574" s="120"/>
      <c r="I574" s="10"/>
      <c r="J574" s="6"/>
    </row>
    <row r="575">
      <c r="A575" s="10"/>
      <c r="B575" s="10"/>
      <c r="C575" s="10"/>
      <c r="D575" s="10"/>
      <c r="E575" s="10"/>
      <c r="F575" s="120"/>
      <c r="G575" s="120"/>
      <c r="H575" s="120"/>
      <c r="I575" s="10"/>
      <c r="J575" s="6"/>
    </row>
    <row r="576">
      <c r="A576" s="10"/>
      <c r="B576" s="10"/>
      <c r="C576" s="10"/>
      <c r="D576" s="10"/>
      <c r="E576" s="10"/>
      <c r="F576" s="120"/>
      <c r="G576" s="120"/>
      <c r="H576" s="120"/>
      <c r="I576" s="10"/>
      <c r="J576" s="6"/>
    </row>
    <row r="577">
      <c r="A577" s="10"/>
      <c r="B577" s="10"/>
      <c r="C577" s="10"/>
      <c r="D577" s="10"/>
      <c r="E577" s="10"/>
      <c r="F577" s="120"/>
      <c r="G577" s="120"/>
      <c r="H577" s="120"/>
      <c r="I577" s="10"/>
      <c r="J577" s="6"/>
    </row>
    <row r="578">
      <c r="A578" s="10"/>
      <c r="B578" s="10"/>
      <c r="C578" s="10"/>
      <c r="D578" s="10"/>
      <c r="E578" s="10"/>
      <c r="F578" s="120"/>
      <c r="G578" s="120"/>
      <c r="H578" s="120"/>
      <c r="I578" s="10"/>
      <c r="J578" s="6"/>
    </row>
    <row r="579">
      <c r="A579" s="10"/>
      <c r="B579" s="10"/>
      <c r="C579" s="10"/>
      <c r="D579" s="10"/>
      <c r="E579" s="10"/>
      <c r="F579" s="120"/>
      <c r="G579" s="120"/>
      <c r="H579" s="120"/>
      <c r="I579" s="10"/>
      <c r="J579" s="6"/>
    </row>
    <row r="580">
      <c r="A580" s="10"/>
      <c r="B580" s="10"/>
      <c r="C580" s="10"/>
      <c r="D580" s="10"/>
      <c r="E580" s="10"/>
      <c r="F580" s="120"/>
      <c r="G580" s="120"/>
      <c r="H580" s="120"/>
      <c r="I580" s="10"/>
      <c r="J580" s="6"/>
    </row>
    <row r="581">
      <c r="A581" s="10"/>
      <c r="B581" s="10"/>
      <c r="C581" s="10"/>
      <c r="D581" s="10"/>
      <c r="E581" s="10"/>
      <c r="F581" s="120"/>
      <c r="G581" s="120"/>
      <c r="H581" s="120"/>
      <c r="I581" s="10"/>
      <c r="J581" s="6"/>
    </row>
    <row r="582">
      <c r="A582" s="10"/>
      <c r="B582" s="10"/>
      <c r="C582" s="10"/>
      <c r="D582" s="10"/>
      <c r="E582" s="10"/>
      <c r="F582" s="120"/>
      <c r="G582" s="120"/>
      <c r="H582" s="120"/>
      <c r="I582" s="10"/>
      <c r="J582" s="6"/>
    </row>
    <row r="583">
      <c r="A583" s="10"/>
      <c r="B583" s="10"/>
      <c r="C583" s="10"/>
      <c r="D583" s="10"/>
      <c r="E583" s="10"/>
      <c r="F583" s="120"/>
      <c r="G583" s="120"/>
      <c r="H583" s="120"/>
      <c r="I583" s="10"/>
      <c r="J583" s="6"/>
    </row>
    <row r="584">
      <c r="A584" s="10"/>
      <c r="B584" s="10"/>
      <c r="C584" s="10"/>
      <c r="D584" s="10"/>
      <c r="E584" s="10"/>
      <c r="F584" s="120"/>
      <c r="G584" s="120"/>
      <c r="H584" s="120"/>
      <c r="I584" s="10"/>
      <c r="J584" s="6"/>
    </row>
    <row r="585">
      <c r="A585" s="10"/>
      <c r="B585" s="10"/>
      <c r="C585" s="10"/>
      <c r="D585" s="10"/>
      <c r="E585" s="10"/>
      <c r="F585" s="120"/>
      <c r="G585" s="120"/>
      <c r="H585" s="120"/>
      <c r="I585" s="10"/>
      <c r="J585" s="6"/>
    </row>
    <row r="586">
      <c r="A586" s="10"/>
      <c r="B586" s="10"/>
      <c r="C586" s="10"/>
      <c r="D586" s="10"/>
      <c r="E586" s="10"/>
      <c r="F586" s="120"/>
      <c r="G586" s="120"/>
      <c r="H586" s="120"/>
      <c r="I586" s="10"/>
      <c r="J586" s="6"/>
    </row>
    <row r="587">
      <c r="A587" s="10"/>
      <c r="B587" s="10"/>
      <c r="C587" s="10"/>
      <c r="D587" s="10"/>
      <c r="E587" s="10"/>
      <c r="F587" s="120"/>
      <c r="G587" s="120"/>
      <c r="H587" s="120"/>
      <c r="I587" s="10"/>
      <c r="J587" s="6"/>
    </row>
    <row r="588">
      <c r="A588" s="10"/>
      <c r="B588" s="10"/>
      <c r="C588" s="10"/>
      <c r="D588" s="10"/>
      <c r="E588" s="10"/>
      <c r="F588" s="120"/>
      <c r="G588" s="120"/>
      <c r="H588" s="120"/>
      <c r="I588" s="10"/>
      <c r="J588" s="6"/>
    </row>
    <row r="589">
      <c r="A589" s="10"/>
      <c r="B589" s="10"/>
      <c r="C589" s="10"/>
      <c r="D589" s="10"/>
      <c r="E589" s="10"/>
      <c r="F589" s="120"/>
      <c r="G589" s="120"/>
      <c r="H589" s="120"/>
      <c r="I589" s="10"/>
      <c r="J589" s="6"/>
    </row>
    <row r="590">
      <c r="A590" s="10"/>
      <c r="B590" s="10"/>
      <c r="C590" s="10"/>
      <c r="D590" s="10"/>
      <c r="E590" s="10"/>
      <c r="F590" s="120"/>
      <c r="G590" s="120"/>
      <c r="H590" s="120"/>
      <c r="I590" s="10"/>
      <c r="J590" s="6"/>
    </row>
    <row r="591">
      <c r="A591" s="10"/>
      <c r="B591" s="10"/>
      <c r="C591" s="10"/>
      <c r="D591" s="10"/>
      <c r="E591" s="10"/>
      <c r="F591" s="120"/>
      <c r="G591" s="120"/>
      <c r="H591" s="120"/>
      <c r="I591" s="10"/>
      <c r="J591" s="6"/>
    </row>
    <row r="592">
      <c r="A592" s="10"/>
      <c r="B592" s="10"/>
      <c r="C592" s="10"/>
      <c r="D592" s="10"/>
      <c r="E592" s="10"/>
      <c r="F592" s="120"/>
      <c r="G592" s="120"/>
      <c r="H592" s="120"/>
      <c r="I592" s="10"/>
      <c r="J592" s="6"/>
    </row>
    <row r="593">
      <c r="A593" s="10"/>
      <c r="B593" s="10"/>
      <c r="C593" s="10"/>
      <c r="D593" s="10"/>
      <c r="E593" s="10"/>
      <c r="F593" s="120"/>
      <c r="G593" s="120"/>
      <c r="H593" s="120"/>
      <c r="I593" s="10"/>
      <c r="J593" s="6"/>
    </row>
    <row r="594">
      <c r="A594" s="10"/>
      <c r="B594" s="10"/>
      <c r="C594" s="10"/>
      <c r="D594" s="10"/>
      <c r="E594" s="10"/>
      <c r="F594" s="120"/>
      <c r="G594" s="120"/>
      <c r="H594" s="120"/>
      <c r="I594" s="10"/>
      <c r="J594" s="6"/>
    </row>
    <row r="595">
      <c r="A595" s="10"/>
      <c r="B595" s="10"/>
      <c r="C595" s="10"/>
      <c r="D595" s="10"/>
      <c r="E595" s="10"/>
      <c r="F595" s="120"/>
      <c r="G595" s="120"/>
      <c r="H595" s="120"/>
      <c r="I595" s="10"/>
      <c r="J595" s="6"/>
    </row>
    <row r="596">
      <c r="A596" s="10"/>
      <c r="B596" s="10"/>
      <c r="C596" s="10"/>
      <c r="D596" s="10"/>
      <c r="E596" s="10"/>
      <c r="F596" s="120"/>
      <c r="G596" s="120"/>
      <c r="H596" s="120"/>
      <c r="I596" s="10"/>
      <c r="J596" s="6"/>
    </row>
    <row r="597">
      <c r="A597" s="10"/>
      <c r="B597" s="10"/>
      <c r="C597" s="10"/>
      <c r="D597" s="10"/>
      <c r="E597" s="10"/>
      <c r="F597" s="120"/>
      <c r="G597" s="120"/>
      <c r="H597" s="120"/>
      <c r="I597" s="10"/>
      <c r="J597" s="6"/>
    </row>
    <row r="598">
      <c r="A598" s="10"/>
      <c r="B598" s="10"/>
      <c r="C598" s="10"/>
      <c r="D598" s="10"/>
      <c r="E598" s="10"/>
      <c r="F598" s="120"/>
      <c r="G598" s="120"/>
      <c r="H598" s="120"/>
      <c r="I598" s="10"/>
      <c r="J598" s="6"/>
    </row>
    <row r="599">
      <c r="A599" s="10"/>
      <c r="B599" s="10"/>
      <c r="C599" s="10"/>
      <c r="D599" s="10"/>
      <c r="E599" s="10"/>
      <c r="F599" s="120"/>
      <c r="G599" s="120"/>
      <c r="H599" s="120"/>
      <c r="I599" s="10"/>
      <c r="J599" s="6"/>
    </row>
    <row r="600">
      <c r="A600" s="10"/>
      <c r="B600" s="10"/>
      <c r="C600" s="10"/>
      <c r="D600" s="10"/>
      <c r="E600" s="10"/>
      <c r="F600" s="120"/>
      <c r="G600" s="120"/>
      <c r="H600" s="120"/>
      <c r="I600" s="10"/>
      <c r="J600" s="6"/>
    </row>
    <row r="601">
      <c r="A601" s="10"/>
      <c r="B601" s="10"/>
      <c r="C601" s="10"/>
      <c r="D601" s="10"/>
      <c r="E601" s="10"/>
      <c r="F601" s="120"/>
      <c r="G601" s="120"/>
      <c r="H601" s="120"/>
      <c r="I601" s="10"/>
      <c r="J601" s="6"/>
    </row>
    <row r="602">
      <c r="A602" s="10"/>
      <c r="B602" s="10"/>
      <c r="C602" s="10"/>
      <c r="D602" s="10"/>
      <c r="E602" s="10"/>
      <c r="F602" s="120"/>
      <c r="G602" s="120"/>
      <c r="H602" s="120"/>
      <c r="I602" s="10"/>
      <c r="J602" s="6"/>
    </row>
    <row r="603">
      <c r="A603" s="10"/>
      <c r="B603" s="10"/>
      <c r="C603" s="10"/>
      <c r="D603" s="10"/>
      <c r="E603" s="10"/>
      <c r="F603" s="120"/>
      <c r="G603" s="120"/>
      <c r="H603" s="120"/>
      <c r="I603" s="10"/>
      <c r="J603" s="6"/>
    </row>
    <row r="604">
      <c r="A604" s="10"/>
      <c r="B604" s="10"/>
      <c r="C604" s="10"/>
      <c r="D604" s="10"/>
      <c r="E604" s="10"/>
      <c r="F604" s="120"/>
      <c r="G604" s="120"/>
      <c r="H604" s="120"/>
      <c r="I604" s="10"/>
      <c r="J604" s="6"/>
    </row>
    <row r="605">
      <c r="A605" s="10"/>
      <c r="B605" s="10"/>
      <c r="C605" s="10"/>
      <c r="D605" s="10"/>
      <c r="E605" s="10"/>
      <c r="F605" s="120"/>
      <c r="G605" s="120"/>
      <c r="H605" s="120"/>
      <c r="I605" s="10"/>
      <c r="J605" s="6"/>
    </row>
    <row r="606">
      <c r="A606" s="10"/>
      <c r="B606" s="10"/>
      <c r="C606" s="10"/>
      <c r="D606" s="10"/>
      <c r="E606" s="10"/>
      <c r="F606" s="120"/>
      <c r="G606" s="120"/>
      <c r="H606" s="120"/>
      <c r="I606" s="10"/>
      <c r="J606" s="6"/>
    </row>
    <row r="607">
      <c r="A607" s="10"/>
      <c r="B607" s="10"/>
      <c r="C607" s="10"/>
      <c r="D607" s="10"/>
      <c r="E607" s="10"/>
      <c r="F607" s="120"/>
      <c r="G607" s="120"/>
      <c r="H607" s="120"/>
      <c r="I607" s="10"/>
      <c r="J607" s="6"/>
    </row>
    <row r="608">
      <c r="A608" s="10"/>
      <c r="B608" s="10"/>
      <c r="C608" s="10"/>
      <c r="D608" s="10"/>
      <c r="E608" s="10"/>
      <c r="F608" s="120"/>
      <c r="G608" s="120"/>
      <c r="H608" s="120"/>
      <c r="I608" s="10"/>
      <c r="J608" s="6"/>
    </row>
    <row r="609">
      <c r="A609" s="10"/>
      <c r="B609" s="10"/>
      <c r="C609" s="10"/>
      <c r="D609" s="10"/>
      <c r="E609" s="10"/>
      <c r="F609" s="120"/>
      <c r="G609" s="120"/>
      <c r="H609" s="120"/>
      <c r="I609" s="10"/>
      <c r="J609" s="6"/>
    </row>
    <row r="610">
      <c r="A610" s="10"/>
      <c r="B610" s="10"/>
      <c r="C610" s="10"/>
      <c r="D610" s="10"/>
      <c r="E610" s="10"/>
      <c r="F610" s="120"/>
      <c r="G610" s="120"/>
      <c r="H610" s="120"/>
      <c r="I610" s="10"/>
      <c r="J610" s="6"/>
    </row>
    <row r="611">
      <c r="A611" s="10"/>
      <c r="B611" s="10"/>
      <c r="C611" s="10"/>
      <c r="D611" s="10"/>
      <c r="E611" s="10"/>
      <c r="F611" s="120"/>
      <c r="G611" s="120"/>
      <c r="H611" s="120"/>
      <c r="I611" s="10"/>
      <c r="J611" s="6"/>
    </row>
    <row r="612">
      <c r="A612" s="10"/>
      <c r="B612" s="10"/>
      <c r="C612" s="10"/>
      <c r="D612" s="10"/>
      <c r="E612" s="10"/>
      <c r="F612" s="120"/>
      <c r="G612" s="120"/>
      <c r="H612" s="120"/>
      <c r="I612" s="10"/>
      <c r="J612" s="6"/>
    </row>
    <row r="613">
      <c r="A613" s="10"/>
      <c r="B613" s="10"/>
      <c r="C613" s="10"/>
      <c r="D613" s="10"/>
      <c r="E613" s="10"/>
      <c r="F613" s="120"/>
      <c r="G613" s="120"/>
      <c r="H613" s="120"/>
      <c r="I613" s="10"/>
      <c r="J613" s="6"/>
    </row>
    <row r="614">
      <c r="A614" s="10"/>
      <c r="B614" s="10"/>
      <c r="C614" s="10"/>
      <c r="D614" s="10"/>
      <c r="E614" s="10"/>
      <c r="F614" s="120"/>
      <c r="G614" s="120"/>
      <c r="H614" s="120"/>
      <c r="I614" s="10"/>
      <c r="J614" s="6"/>
    </row>
    <row r="615">
      <c r="A615" s="10"/>
      <c r="B615" s="10"/>
      <c r="C615" s="10"/>
      <c r="D615" s="10"/>
      <c r="E615" s="10"/>
      <c r="F615" s="120"/>
      <c r="G615" s="120"/>
      <c r="H615" s="120"/>
      <c r="I615" s="10"/>
      <c r="J615" s="6"/>
    </row>
    <row r="616">
      <c r="A616" s="10"/>
      <c r="B616" s="10"/>
      <c r="C616" s="10"/>
      <c r="D616" s="10"/>
      <c r="E616" s="10"/>
      <c r="F616" s="120"/>
      <c r="G616" s="120"/>
      <c r="H616" s="120"/>
      <c r="I616" s="10"/>
      <c r="J616" s="6"/>
    </row>
    <row r="617">
      <c r="A617" s="10"/>
      <c r="B617" s="10"/>
      <c r="C617" s="10"/>
      <c r="D617" s="10"/>
      <c r="E617" s="10"/>
      <c r="F617" s="120"/>
      <c r="G617" s="120"/>
      <c r="H617" s="120"/>
      <c r="I617" s="10"/>
      <c r="J617" s="6"/>
    </row>
    <row r="618">
      <c r="A618" s="10"/>
      <c r="B618" s="10"/>
      <c r="C618" s="10"/>
      <c r="D618" s="10"/>
      <c r="E618" s="10"/>
      <c r="F618" s="120"/>
      <c r="G618" s="120"/>
      <c r="H618" s="120"/>
      <c r="I618" s="10"/>
      <c r="J618" s="6"/>
    </row>
    <row r="619">
      <c r="A619" s="10"/>
      <c r="B619" s="10"/>
      <c r="C619" s="10"/>
      <c r="D619" s="10"/>
      <c r="E619" s="10"/>
      <c r="F619" s="120"/>
      <c r="G619" s="120"/>
      <c r="H619" s="120"/>
      <c r="I619" s="10"/>
      <c r="J619" s="6"/>
    </row>
    <row r="620">
      <c r="A620" s="10"/>
      <c r="B620" s="10"/>
      <c r="C620" s="10"/>
      <c r="D620" s="10"/>
      <c r="E620" s="10"/>
      <c r="F620" s="120"/>
      <c r="G620" s="120"/>
      <c r="H620" s="120"/>
      <c r="I620" s="10"/>
      <c r="J620" s="6"/>
    </row>
    <row r="621">
      <c r="A621" s="10"/>
      <c r="B621" s="10"/>
      <c r="C621" s="10"/>
      <c r="D621" s="10"/>
      <c r="E621" s="10"/>
      <c r="F621" s="120"/>
      <c r="G621" s="120"/>
      <c r="H621" s="120"/>
      <c r="I621" s="10"/>
      <c r="J621" s="6"/>
    </row>
    <row r="622">
      <c r="A622" s="10"/>
      <c r="B622" s="10"/>
      <c r="C622" s="10"/>
      <c r="D622" s="10"/>
      <c r="E622" s="10"/>
      <c r="F622" s="120"/>
      <c r="G622" s="120"/>
      <c r="H622" s="120"/>
      <c r="I622" s="10"/>
      <c r="J622" s="6"/>
    </row>
    <row r="623">
      <c r="A623" s="10"/>
      <c r="B623" s="10"/>
      <c r="C623" s="10"/>
      <c r="D623" s="10"/>
      <c r="E623" s="10"/>
      <c r="F623" s="120"/>
      <c r="G623" s="120"/>
      <c r="H623" s="120"/>
      <c r="I623" s="10"/>
      <c r="J623" s="6"/>
    </row>
    <row r="624">
      <c r="A624" s="10"/>
      <c r="B624" s="10"/>
      <c r="C624" s="10"/>
      <c r="D624" s="10"/>
      <c r="E624" s="10"/>
      <c r="F624" s="120"/>
      <c r="G624" s="120"/>
      <c r="H624" s="120"/>
      <c r="I624" s="10"/>
      <c r="J624" s="6"/>
    </row>
    <row r="625">
      <c r="A625" s="10"/>
      <c r="B625" s="10"/>
      <c r="C625" s="10"/>
      <c r="D625" s="10"/>
      <c r="E625" s="10"/>
      <c r="F625" s="120"/>
      <c r="G625" s="120"/>
      <c r="H625" s="120"/>
      <c r="I625" s="10"/>
      <c r="J625" s="6"/>
    </row>
    <row r="626">
      <c r="A626" s="10"/>
      <c r="B626" s="10"/>
      <c r="C626" s="10"/>
      <c r="D626" s="10"/>
      <c r="E626" s="10"/>
      <c r="F626" s="120"/>
      <c r="G626" s="120"/>
      <c r="H626" s="120"/>
      <c r="I626" s="10"/>
      <c r="J626" s="6"/>
    </row>
    <row r="627">
      <c r="A627" s="10"/>
      <c r="B627" s="10"/>
      <c r="C627" s="10"/>
      <c r="D627" s="10"/>
      <c r="E627" s="10"/>
      <c r="F627" s="120"/>
      <c r="G627" s="120"/>
      <c r="H627" s="120"/>
      <c r="I627" s="10"/>
      <c r="J627" s="6"/>
    </row>
    <row r="628">
      <c r="A628" s="10"/>
      <c r="B628" s="10"/>
      <c r="C628" s="10"/>
      <c r="D628" s="10"/>
      <c r="E628" s="10"/>
      <c r="F628" s="120"/>
      <c r="G628" s="120"/>
      <c r="H628" s="120"/>
      <c r="I628" s="10"/>
      <c r="J628" s="6"/>
    </row>
    <row r="629">
      <c r="A629" s="10"/>
      <c r="B629" s="10"/>
      <c r="C629" s="10"/>
      <c r="D629" s="10"/>
      <c r="E629" s="10"/>
      <c r="F629" s="120"/>
      <c r="G629" s="120"/>
      <c r="H629" s="120"/>
      <c r="I629" s="10"/>
      <c r="J629" s="6"/>
    </row>
    <row r="630">
      <c r="A630" s="10"/>
      <c r="B630" s="10"/>
      <c r="C630" s="10"/>
      <c r="D630" s="10"/>
      <c r="E630" s="10"/>
      <c r="F630" s="120"/>
      <c r="G630" s="120"/>
      <c r="H630" s="120"/>
      <c r="I630" s="10"/>
      <c r="J630" s="6"/>
    </row>
    <row r="631">
      <c r="A631" s="10"/>
      <c r="B631" s="10"/>
      <c r="C631" s="10"/>
      <c r="D631" s="10"/>
      <c r="E631" s="10"/>
      <c r="F631" s="120"/>
      <c r="G631" s="120"/>
      <c r="H631" s="120"/>
      <c r="I631" s="10"/>
      <c r="J631" s="6"/>
    </row>
    <row r="632">
      <c r="A632" s="10"/>
      <c r="B632" s="10"/>
      <c r="C632" s="10"/>
      <c r="D632" s="10"/>
      <c r="E632" s="10"/>
      <c r="F632" s="120"/>
      <c r="G632" s="120"/>
      <c r="H632" s="120"/>
      <c r="I632" s="10"/>
      <c r="J632" s="6"/>
    </row>
    <row r="633">
      <c r="A633" s="10"/>
      <c r="B633" s="10"/>
      <c r="C633" s="10"/>
      <c r="D633" s="10"/>
      <c r="E633" s="10"/>
      <c r="F633" s="120"/>
      <c r="G633" s="120"/>
      <c r="H633" s="120"/>
      <c r="I633" s="10"/>
      <c r="J633" s="6"/>
    </row>
    <row r="634">
      <c r="A634" s="10"/>
      <c r="B634" s="10"/>
      <c r="C634" s="10"/>
      <c r="D634" s="10"/>
      <c r="E634" s="10"/>
      <c r="F634" s="120"/>
      <c r="G634" s="120"/>
      <c r="H634" s="120"/>
      <c r="I634" s="10"/>
      <c r="J634" s="6"/>
    </row>
    <row r="635">
      <c r="A635" s="10"/>
      <c r="B635" s="10"/>
      <c r="C635" s="10"/>
      <c r="D635" s="10"/>
      <c r="E635" s="10"/>
      <c r="F635" s="120"/>
      <c r="G635" s="120"/>
      <c r="H635" s="120"/>
      <c r="I635" s="10"/>
      <c r="J635" s="6"/>
    </row>
    <row r="636">
      <c r="A636" s="10"/>
      <c r="B636" s="10"/>
      <c r="C636" s="10"/>
      <c r="D636" s="10"/>
      <c r="E636" s="10"/>
      <c r="F636" s="120"/>
      <c r="G636" s="120"/>
      <c r="H636" s="120"/>
      <c r="I636" s="10"/>
      <c r="J636" s="6"/>
    </row>
    <row r="637">
      <c r="A637" s="10"/>
      <c r="B637" s="10"/>
      <c r="C637" s="10"/>
      <c r="D637" s="10"/>
      <c r="E637" s="10"/>
      <c r="F637" s="120"/>
      <c r="G637" s="120"/>
      <c r="H637" s="120"/>
      <c r="I637" s="10"/>
      <c r="J637" s="6"/>
    </row>
    <row r="638">
      <c r="A638" s="10"/>
      <c r="B638" s="10"/>
      <c r="C638" s="10"/>
      <c r="D638" s="10"/>
      <c r="E638" s="10"/>
      <c r="F638" s="120"/>
      <c r="G638" s="120"/>
      <c r="H638" s="120"/>
      <c r="I638" s="10"/>
      <c r="J638" s="6"/>
    </row>
    <row r="639">
      <c r="A639" s="10"/>
      <c r="B639" s="10"/>
      <c r="C639" s="10"/>
      <c r="D639" s="10"/>
      <c r="E639" s="10"/>
      <c r="F639" s="120"/>
      <c r="G639" s="120"/>
      <c r="H639" s="120"/>
      <c r="I639" s="10"/>
      <c r="J639" s="6"/>
    </row>
    <row r="640">
      <c r="A640" s="10"/>
      <c r="B640" s="10"/>
      <c r="C640" s="10"/>
      <c r="D640" s="10"/>
      <c r="E640" s="10"/>
      <c r="F640" s="120"/>
      <c r="G640" s="120"/>
      <c r="H640" s="120"/>
      <c r="I640" s="10"/>
      <c r="J640" s="6"/>
    </row>
    <row r="641">
      <c r="A641" s="10"/>
      <c r="B641" s="10"/>
      <c r="C641" s="10"/>
      <c r="D641" s="10"/>
      <c r="E641" s="10"/>
      <c r="F641" s="120"/>
      <c r="G641" s="120"/>
      <c r="H641" s="120"/>
      <c r="I641" s="10"/>
      <c r="J641" s="6"/>
    </row>
    <row r="642">
      <c r="A642" s="10"/>
      <c r="B642" s="10"/>
      <c r="C642" s="10"/>
      <c r="D642" s="10"/>
      <c r="E642" s="10"/>
      <c r="F642" s="120"/>
      <c r="G642" s="120"/>
      <c r="H642" s="120"/>
      <c r="I642" s="10"/>
      <c r="J642" s="6"/>
    </row>
    <row r="643">
      <c r="A643" s="10"/>
      <c r="B643" s="10"/>
      <c r="C643" s="10"/>
      <c r="D643" s="10"/>
      <c r="E643" s="10"/>
      <c r="F643" s="120"/>
      <c r="G643" s="120"/>
      <c r="H643" s="120"/>
      <c r="I643" s="10"/>
      <c r="J643" s="6"/>
    </row>
    <row r="644">
      <c r="A644" s="10"/>
      <c r="B644" s="10"/>
      <c r="C644" s="10"/>
      <c r="D644" s="10"/>
      <c r="E644" s="10"/>
      <c r="F644" s="120"/>
      <c r="G644" s="120"/>
      <c r="H644" s="120"/>
      <c r="I644" s="10"/>
      <c r="J644" s="6"/>
    </row>
    <row r="645">
      <c r="A645" s="10"/>
      <c r="B645" s="10"/>
      <c r="C645" s="10"/>
      <c r="D645" s="10"/>
      <c r="E645" s="10"/>
      <c r="F645" s="120"/>
      <c r="G645" s="120"/>
      <c r="H645" s="120"/>
      <c r="I645" s="10"/>
      <c r="J645" s="6"/>
    </row>
    <row r="646">
      <c r="A646" s="10"/>
      <c r="B646" s="10"/>
      <c r="C646" s="10"/>
      <c r="D646" s="10"/>
      <c r="E646" s="10"/>
      <c r="F646" s="120"/>
      <c r="G646" s="120"/>
      <c r="H646" s="120"/>
      <c r="I646" s="10"/>
      <c r="J646" s="6"/>
    </row>
    <row r="647">
      <c r="A647" s="10"/>
      <c r="B647" s="10"/>
      <c r="C647" s="10"/>
      <c r="D647" s="10"/>
      <c r="E647" s="10"/>
      <c r="F647" s="120"/>
      <c r="G647" s="120"/>
      <c r="H647" s="120"/>
      <c r="I647" s="10"/>
      <c r="J647" s="6"/>
    </row>
    <row r="648">
      <c r="A648" s="10"/>
      <c r="B648" s="10"/>
      <c r="C648" s="10"/>
      <c r="D648" s="10"/>
      <c r="E648" s="10"/>
      <c r="F648" s="120"/>
      <c r="G648" s="120"/>
      <c r="H648" s="120"/>
      <c r="I648" s="10"/>
      <c r="J648" s="6"/>
    </row>
    <row r="649">
      <c r="A649" s="10"/>
      <c r="B649" s="10"/>
      <c r="C649" s="10"/>
      <c r="D649" s="10"/>
      <c r="E649" s="10"/>
      <c r="F649" s="120"/>
      <c r="G649" s="120"/>
      <c r="H649" s="120"/>
      <c r="I649" s="10"/>
      <c r="J649" s="6"/>
    </row>
    <row r="650">
      <c r="A650" s="10"/>
      <c r="B650" s="10"/>
      <c r="C650" s="10"/>
      <c r="D650" s="10"/>
      <c r="E650" s="10"/>
      <c r="F650" s="120"/>
      <c r="G650" s="120"/>
      <c r="H650" s="120"/>
      <c r="I650" s="10"/>
      <c r="J650" s="6"/>
    </row>
    <row r="651">
      <c r="A651" s="10"/>
      <c r="B651" s="10"/>
      <c r="C651" s="10"/>
      <c r="D651" s="10"/>
      <c r="E651" s="10"/>
      <c r="F651" s="120"/>
      <c r="G651" s="120"/>
      <c r="H651" s="120"/>
      <c r="I651" s="10"/>
      <c r="J651" s="6"/>
    </row>
    <row r="652">
      <c r="A652" s="10"/>
      <c r="B652" s="10"/>
      <c r="C652" s="10"/>
      <c r="D652" s="10"/>
      <c r="E652" s="10"/>
      <c r="F652" s="120"/>
      <c r="G652" s="120"/>
      <c r="H652" s="120"/>
      <c r="I652" s="10"/>
      <c r="J652" s="6"/>
    </row>
    <row r="653">
      <c r="A653" s="10"/>
      <c r="B653" s="10"/>
      <c r="C653" s="10"/>
      <c r="D653" s="10"/>
      <c r="E653" s="10"/>
      <c r="F653" s="120"/>
      <c r="G653" s="120"/>
      <c r="H653" s="120"/>
      <c r="I653" s="10"/>
      <c r="J653" s="6"/>
    </row>
    <row r="654">
      <c r="A654" s="10"/>
      <c r="B654" s="10"/>
      <c r="C654" s="10"/>
      <c r="D654" s="10"/>
      <c r="E654" s="10"/>
      <c r="F654" s="120"/>
      <c r="G654" s="120"/>
      <c r="H654" s="120"/>
      <c r="I654" s="10"/>
      <c r="J654" s="6"/>
    </row>
    <row r="655">
      <c r="A655" s="10"/>
      <c r="B655" s="10"/>
      <c r="C655" s="10"/>
      <c r="D655" s="10"/>
      <c r="E655" s="10"/>
      <c r="F655" s="120"/>
      <c r="G655" s="120"/>
      <c r="H655" s="120"/>
      <c r="I655" s="10"/>
      <c r="J655" s="6"/>
    </row>
    <row r="656">
      <c r="A656" s="10"/>
      <c r="B656" s="10"/>
      <c r="C656" s="10"/>
      <c r="D656" s="10"/>
      <c r="E656" s="10"/>
      <c r="F656" s="120"/>
      <c r="G656" s="120"/>
      <c r="H656" s="120"/>
      <c r="I656" s="10"/>
      <c r="J656" s="6"/>
    </row>
    <row r="657">
      <c r="A657" s="10"/>
      <c r="B657" s="10"/>
      <c r="C657" s="10"/>
      <c r="D657" s="10"/>
      <c r="E657" s="10"/>
      <c r="F657" s="120"/>
      <c r="G657" s="120"/>
      <c r="H657" s="120"/>
      <c r="I657" s="10"/>
      <c r="J657" s="6"/>
    </row>
    <row r="658">
      <c r="A658" s="10"/>
      <c r="B658" s="10"/>
      <c r="C658" s="10"/>
      <c r="D658" s="10"/>
      <c r="E658" s="10"/>
      <c r="F658" s="120"/>
      <c r="G658" s="120"/>
      <c r="H658" s="120"/>
      <c r="I658" s="10"/>
      <c r="J658" s="6"/>
    </row>
    <row r="659">
      <c r="A659" s="10"/>
      <c r="B659" s="10"/>
      <c r="C659" s="10"/>
      <c r="D659" s="10"/>
      <c r="E659" s="10"/>
      <c r="F659" s="120"/>
      <c r="G659" s="120"/>
      <c r="H659" s="120"/>
      <c r="I659" s="10"/>
      <c r="J659" s="6"/>
    </row>
    <row r="660">
      <c r="A660" s="10"/>
      <c r="B660" s="10"/>
      <c r="C660" s="10"/>
      <c r="D660" s="10"/>
      <c r="E660" s="10"/>
      <c r="F660" s="120"/>
      <c r="G660" s="120"/>
      <c r="H660" s="120"/>
      <c r="I660" s="10"/>
      <c r="J660" s="6"/>
    </row>
    <row r="661">
      <c r="A661" s="10"/>
      <c r="B661" s="10"/>
      <c r="C661" s="10"/>
      <c r="D661" s="10"/>
      <c r="E661" s="10"/>
      <c r="F661" s="120"/>
      <c r="G661" s="120"/>
      <c r="H661" s="120"/>
      <c r="I661" s="10"/>
      <c r="J661" s="6"/>
    </row>
    <row r="662">
      <c r="A662" s="10"/>
      <c r="B662" s="10"/>
      <c r="C662" s="10"/>
      <c r="D662" s="10"/>
      <c r="E662" s="10"/>
      <c r="F662" s="120"/>
      <c r="G662" s="120"/>
      <c r="H662" s="120"/>
      <c r="I662" s="10"/>
      <c r="J662" s="6"/>
    </row>
    <row r="663">
      <c r="A663" s="10"/>
      <c r="B663" s="10"/>
      <c r="C663" s="10"/>
      <c r="D663" s="10"/>
      <c r="E663" s="10"/>
      <c r="F663" s="120"/>
      <c r="G663" s="120"/>
      <c r="H663" s="120"/>
      <c r="I663" s="10"/>
      <c r="J663" s="6"/>
    </row>
    <row r="664">
      <c r="A664" s="10"/>
      <c r="B664" s="10"/>
      <c r="C664" s="10"/>
      <c r="D664" s="10"/>
      <c r="E664" s="10"/>
      <c r="F664" s="120"/>
      <c r="G664" s="120"/>
      <c r="H664" s="120"/>
      <c r="I664" s="10"/>
      <c r="J664" s="6"/>
    </row>
    <row r="665">
      <c r="A665" s="10"/>
      <c r="B665" s="10"/>
      <c r="C665" s="10"/>
      <c r="D665" s="10"/>
      <c r="E665" s="10"/>
      <c r="F665" s="120"/>
      <c r="G665" s="120"/>
      <c r="H665" s="120"/>
      <c r="I665" s="10"/>
      <c r="J665" s="6"/>
    </row>
    <row r="666">
      <c r="A666" s="10"/>
      <c r="B666" s="10"/>
      <c r="C666" s="10"/>
      <c r="D666" s="10"/>
      <c r="E666" s="10"/>
      <c r="F666" s="120"/>
      <c r="G666" s="120"/>
      <c r="H666" s="120"/>
      <c r="I666" s="10"/>
      <c r="J666" s="6"/>
    </row>
    <row r="667">
      <c r="A667" s="10"/>
      <c r="B667" s="10"/>
      <c r="C667" s="10"/>
      <c r="D667" s="10"/>
      <c r="E667" s="10"/>
      <c r="F667" s="120"/>
      <c r="G667" s="120"/>
      <c r="H667" s="120"/>
      <c r="I667" s="10"/>
      <c r="J667" s="6"/>
    </row>
    <row r="668">
      <c r="A668" s="10"/>
      <c r="B668" s="10"/>
      <c r="C668" s="10"/>
      <c r="D668" s="10"/>
      <c r="E668" s="10"/>
      <c r="F668" s="120"/>
      <c r="G668" s="120"/>
      <c r="H668" s="120"/>
      <c r="I668" s="10"/>
      <c r="J668" s="6"/>
    </row>
    <row r="669">
      <c r="A669" s="10"/>
      <c r="B669" s="10"/>
      <c r="C669" s="10"/>
      <c r="D669" s="10"/>
      <c r="E669" s="10"/>
      <c r="F669" s="120"/>
      <c r="G669" s="120"/>
      <c r="H669" s="120"/>
      <c r="I669" s="10"/>
      <c r="J669" s="6"/>
    </row>
    <row r="670">
      <c r="A670" s="10"/>
      <c r="B670" s="10"/>
      <c r="C670" s="10"/>
      <c r="D670" s="10"/>
      <c r="E670" s="10"/>
      <c r="F670" s="120"/>
      <c r="G670" s="120"/>
      <c r="H670" s="120"/>
      <c r="I670" s="10"/>
      <c r="J670" s="6"/>
    </row>
    <row r="671">
      <c r="A671" s="10"/>
      <c r="B671" s="10"/>
      <c r="C671" s="10"/>
      <c r="D671" s="10"/>
      <c r="E671" s="10"/>
      <c r="F671" s="120"/>
      <c r="G671" s="120"/>
      <c r="H671" s="120"/>
      <c r="I671" s="10"/>
      <c r="J671" s="6"/>
    </row>
    <row r="672">
      <c r="A672" s="10"/>
      <c r="B672" s="10"/>
      <c r="C672" s="10"/>
      <c r="D672" s="10"/>
      <c r="E672" s="10"/>
      <c r="F672" s="120"/>
      <c r="G672" s="120"/>
      <c r="H672" s="120"/>
      <c r="I672" s="10"/>
      <c r="J672" s="6"/>
    </row>
    <row r="673">
      <c r="A673" s="10"/>
      <c r="B673" s="10"/>
      <c r="C673" s="10"/>
      <c r="D673" s="10"/>
      <c r="E673" s="10"/>
      <c r="F673" s="120"/>
      <c r="G673" s="120"/>
      <c r="H673" s="120"/>
      <c r="I673" s="10"/>
      <c r="J673" s="6"/>
    </row>
    <row r="674">
      <c r="A674" s="10"/>
      <c r="B674" s="10"/>
      <c r="C674" s="10"/>
      <c r="D674" s="10"/>
      <c r="E674" s="10"/>
      <c r="F674" s="120"/>
      <c r="G674" s="120"/>
      <c r="H674" s="120"/>
      <c r="I674" s="10"/>
      <c r="J674" s="6"/>
    </row>
    <row r="675">
      <c r="A675" s="10"/>
      <c r="B675" s="10"/>
      <c r="C675" s="10"/>
      <c r="D675" s="10"/>
      <c r="E675" s="10"/>
      <c r="F675" s="120"/>
      <c r="G675" s="120"/>
      <c r="H675" s="120"/>
      <c r="I675" s="10"/>
      <c r="J675" s="6"/>
    </row>
    <row r="676">
      <c r="A676" s="10"/>
      <c r="B676" s="10"/>
      <c r="C676" s="10"/>
      <c r="D676" s="10"/>
      <c r="E676" s="10"/>
      <c r="F676" s="120"/>
      <c r="G676" s="120"/>
      <c r="H676" s="120"/>
      <c r="I676" s="10"/>
      <c r="J676" s="6"/>
    </row>
    <row r="677">
      <c r="A677" s="10"/>
      <c r="B677" s="10"/>
      <c r="C677" s="10"/>
      <c r="D677" s="10"/>
      <c r="E677" s="10"/>
      <c r="F677" s="120"/>
      <c r="G677" s="120"/>
      <c r="H677" s="120"/>
      <c r="I677" s="10"/>
      <c r="J677" s="6"/>
    </row>
    <row r="678">
      <c r="A678" s="10"/>
      <c r="B678" s="10"/>
      <c r="C678" s="10"/>
      <c r="D678" s="10"/>
      <c r="E678" s="10"/>
      <c r="F678" s="120"/>
      <c r="G678" s="120"/>
      <c r="H678" s="120"/>
      <c r="I678" s="10"/>
      <c r="J678" s="6"/>
    </row>
    <row r="679">
      <c r="A679" s="10"/>
      <c r="B679" s="10"/>
      <c r="C679" s="10"/>
      <c r="D679" s="10"/>
      <c r="E679" s="10"/>
      <c r="F679" s="120"/>
      <c r="G679" s="120"/>
      <c r="H679" s="120"/>
      <c r="I679" s="10"/>
      <c r="J679" s="6"/>
    </row>
    <row r="680">
      <c r="A680" s="10"/>
      <c r="B680" s="10"/>
      <c r="C680" s="10"/>
      <c r="D680" s="10"/>
      <c r="E680" s="10"/>
      <c r="F680" s="120"/>
      <c r="G680" s="120"/>
      <c r="H680" s="120"/>
      <c r="I680" s="10"/>
      <c r="J680" s="6"/>
    </row>
    <row r="681">
      <c r="A681" s="10"/>
      <c r="B681" s="10"/>
      <c r="C681" s="10"/>
      <c r="D681" s="10"/>
      <c r="E681" s="10"/>
      <c r="F681" s="120"/>
      <c r="G681" s="120"/>
      <c r="H681" s="120"/>
      <c r="I681" s="10"/>
      <c r="J681" s="6"/>
    </row>
    <row r="682">
      <c r="A682" s="10"/>
      <c r="B682" s="10"/>
      <c r="C682" s="10"/>
      <c r="D682" s="10"/>
      <c r="E682" s="10"/>
      <c r="F682" s="120"/>
      <c r="G682" s="120"/>
      <c r="H682" s="120"/>
      <c r="I682" s="10"/>
      <c r="J682" s="6"/>
    </row>
    <row r="683">
      <c r="A683" s="10"/>
      <c r="B683" s="10"/>
      <c r="C683" s="10"/>
      <c r="D683" s="10"/>
      <c r="E683" s="10"/>
      <c r="F683" s="120"/>
      <c r="G683" s="120"/>
      <c r="H683" s="120"/>
      <c r="I683" s="10"/>
      <c r="J683" s="6"/>
    </row>
    <row r="684">
      <c r="A684" s="10"/>
      <c r="B684" s="10"/>
      <c r="C684" s="10"/>
      <c r="D684" s="10"/>
      <c r="E684" s="10"/>
      <c r="F684" s="120"/>
      <c r="G684" s="120"/>
      <c r="H684" s="120"/>
      <c r="I684" s="10"/>
      <c r="J684" s="6"/>
    </row>
    <row r="685">
      <c r="A685" s="10"/>
      <c r="B685" s="10"/>
      <c r="C685" s="10"/>
      <c r="D685" s="10"/>
      <c r="E685" s="10"/>
      <c r="F685" s="120"/>
      <c r="G685" s="120"/>
      <c r="H685" s="120"/>
      <c r="I685" s="10"/>
      <c r="J685" s="6"/>
    </row>
    <row r="686">
      <c r="A686" s="10"/>
      <c r="B686" s="10"/>
      <c r="C686" s="10"/>
      <c r="D686" s="10"/>
      <c r="E686" s="10"/>
      <c r="F686" s="120"/>
      <c r="G686" s="120"/>
      <c r="H686" s="120"/>
      <c r="I686" s="10"/>
      <c r="J686" s="6"/>
    </row>
    <row r="687">
      <c r="A687" s="10"/>
      <c r="B687" s="10"/>
      <c r="C687" s="10"/>
      <c r="D687" s="10"/>
      <c r="E687" s="10"/>
      <c r="F687" s="120"/>
      <c r="G687" s="120"/>
      <c r="H687" s="120"/>
      <c r="I687" s="10"/>
      <c r="J687" s="6"/>
    </row>
    <row r="688">
      <c r="A688" s="10"/>
      <c r="B688" s="10"/>
      <c r="C688" s="10"/>
      <c r="D688" s="10"/>
      <c r="E688" s="10"/>
      <c r="F688" s="120"/>
      <c r="G688" s="120"/>
      <c r="H688" s="120"/>
      <c r="I688" s="10"/>
      <c r="J688" s="6"/>
    </row>
    <row r="689">
      <c r="A689" s="10"/>
      <c r="B689" s="10"/>
      <c r="C689" s="10"/>
      <c r="D689" s="10"/>
      <c r="E689" s="10"/>
      <c r="F689" s="120"/>
      <c r="G689" s="120"/>
      <c r="H689" s="120"/>
      <c r="I689" s="10"/>
      <c r="J689" s="6"/>
    </row>
    <row r="690">
      <c r="A690" s="10"/>
      <c r="B690" s="10"/>
      <c r="C690" s="10"/>
      <c r="D690" s="10"/>
      <c r="E690" s="10"/>
      <c r="F690" s="120"/>
      <c r="G690" s="120"/>
      <c r="H690" s="120"/>
      <c r="I690" s="10"/>
      <c r="J690" s="6"/>
    </row>
    <row r="691">
      <c r="A691" s="10"/>
      <c r="B691" s="10"/>
      <c r="C691" s="10"/>
      <c r="D691" s="10"/>
      <c r="E691" s="10"/>
      <c r="F691" s="120"/>
      <c r="G691" s="120"/>
      <c r="H691" s="120"/>
      <c r="I691" s="10"/>
      <c r="J691" s="6"/>
    </row>
    <row r="692">
      <c r="A692" s="10"/>
      <c r="B692" s="10"/>
      <c r="C692" s="10"/>
      <c r="D692" s="10"/>
      <c r="E692" s="10"/>
      <c r="F692" s="120"/>
      <c r="G692" s="120"/>
      <c r="H692" s="120"/>
      <c r="I692" s="10"/>
      <c r="J692" s="6"/>
    </row>
    <row r="693">
      <c r="A693" s="10"/>
      <c r="B693" s="10"/>
      <c r="C693" s="10"/>
      <c r="D693" s="10"/>
      <c r="E693" s="10"/>
      <c r="F693" s="120"/>
      <c r="G693" s="120"/>
      <c r="H693" s="120"/>
      <c r="I693" s="10"/>
      <c r="J693" s="6"/>
    </row>
    <row r="694">
      <c r="A694" s="10"/>
      <c r="B694" s="10"/>
      <c r="C694" s="10"/>
      <c r="D694" s="10"/>
      <c r="E694" s="10"/>
      <c r="F694" s="120"/>
      <c r="G694" s="120"/>
      <c r="H694" s="120"/>
      <c r="I694" s="10"/>
      <c r="J694" s="6"/>
    </row>
    <row r="695">
      <c r="A695" s="10"/>
      <c r="B695" s="10"/>
      <c r="C695" s="10"/>
      <c r="D695" s="10"/>
      <c r="E695" s="10"/>
      <c r="F695" s="120"/>
      <c r="G695" s="120"/>
      <c r="H695" s="120"/>
      <c r="I695" s="10"/>
      <c r="J695" s="6"/>
    </row>
    <row r="696">
      <c r="A696" s="10"/>
      <c r="B696" s="10"/>
      <c r="C696" s="10"/>
      <c r="D696" s="10"/>
      <c r="E696" s="10"/>
      <c r="F696" s="120"/>
      <c r="G696" s="120"/>
      <c r="H696" s="120"/>
      <c r="I696" s="10"/>
      <c r="J696" s="6"/>
    </row>
    <row r="697">
      <c r="A697" s="10"/>
      <c r="B697" s="10"/>
      <c r="C697" s="10"/>
      <c r="D697" s="10"/>
      <c r="E697" s="10"/>
      <c r="F697" s="120"/>
      <c r="G697" s="120"/>
      <c r="H697" s="120"/>
      <c r="I697" s="10"/>
      <c r="J697" s="6"/>
    </row>
    <row r="698">
      <c r="A698" s="10"/>
      <c r="B698" s="10"/>
      <c r="C698" s="10"/>
      <c r="D698" s="10"/>
      <c r="E698" s="10"/>
      <c r="F698" s="120"/>
      <c r="G698" s="120"/>
      <c r="H698" s="120"/>
      <c r="I698" s="10"/>
      <c r="J698" s="6"/>
    </row>
    <row r="699">
      <c r="A699" s="10"/>
      <c r="B699" s="10"/>
      <c r="C699" s="10"/>
      <c r="D699" s="10"/>
      <c r="E699" s="10"/>
      <c r="F699" s="120"/>
      <c r="G699" s="120"/>
      <c r="H699" s="120"/>
      <c r="I699" s="10"/>
      <c r="J699" s="6"/>
    </row>
    <row r="700">
      <c r="A700" s="10"/>
      <c r="B700" s="10"/>
      <c r="C700" s="10"/>
      <c r="D700" s="10"/>
      <c r="E700" s="10"/>
      <c r="F700" s="120"/>
      <c r="G700" s="120"/>
      <c r="H700" s="120"/>
      <c r="I700" s="10"/>
      <c r="J700" s="6"/>
    </row>
    <row r="701">
      <c r="A701" s="10"/>
      <c r="B701" s="10"/>
      <c r="C701" s="10"/>
      <c r="D701" s="10"/>
      <c r="E701" s="10"/>
      <c r="F701" s="120"/>
      <c r="G701" s="120"/>
      <c r="H701" s="120"/>
      <c r="I701" s="10"/>
      <c r="J701" s="6"/>
    </row>
    <row r="702">
      <c r="A702" s="10"/>
      <c r="B702" s="10"/>
      <c r="C702" s="10"/>
      <c r="D702" s="10"/>
      <c r="E702" s="10"/>
      <c r="F702" s="120"/>
      <c r="G702" s="120"/>
      <c r="H702" s="120"/>
      <c r="I702" s="10"/>
      <c r="J702" s="6"/>
    </row>
    <row r="703">
      <c r="A703" s="10"/>
      <c r="B703" s="10"/>
      <c r="C703" s="10"/>
      <c r="D703" s="10"/>
      <c r="E703" s="10"/>
      <c r="F703" s="120"/>
      <c r="G703" s="120"/>
      <c r="H703" s="120"/>
      <c r="I703" s="10"/>
      <c r="J703" s="6"/>
    </row>
    <row r="704">
      <c r="A704" s="10"/>
      <c r="B704" s="10"/>
      <c r="C704" s="10"/>
      <c r="D704" s="10"/>
      <c r="E704" s="10"/>
      <c r="F704" s="120"/>
      <c r="G704" s="120"/>
      <c r="H704" s="120"/>
      <c r="I704" s="10"/>
      <c r="J704" s="6"/>
    </row>
    <row r="705">
      <c r="A705" s="10"/>
      <c r="B705" s="10"/>
      <c r="C705" s="10"/>
      <c r="D705" s="10"/>
      <c r="E705" s="10"/>
      <c r="F705" s="120"/>
      <c r="G705" s="120"/>
      <c r="H705" s="120"/>
      <c r="I705" s="10"/>
      <c r="J705" s="6"/>
    </row>
    <row r="706">
      <c r="A706" s="10"/>
      <c r="B706" s="10"/>
      <c r="C706" s="10"/>
      <c r="D706" s="10"/>
      <c r="E706" s="10"/>
      <c r="F706" s="120"/>
      <c r="G706" s="120"/>
      <c r="H706" s="120"/>
      <c r="I706" s="10"/>
      <c r="J706" s="6"/>
    </row>
    <row r="707">
      <c r="A707" s="10"/>
      <c r="B707" s="10"/>
      <c r="C707" s="10"/>
      <c r="D707" s="10"/>
      <c r="E707" s="10"/>
      <c r="F707" s="120"/>
      <c r="G707" s="120"/>
      <c r="H707" s="120"/>
      <c r="I707" s="10"/>
      <c r="J707" s="6"/>
    </row>
    <row r="708">
      <c r="A708" s="10"/>
      <c r="B708" s="10"/>
      <c r="C708" s="10"/>
      <c r="D708" s="10"/>
      <c r="E708" s="10"/>
      <c r="F708" s="120"/>
      <c r="G708" s="120"/>
      <c r="H708" s="120"/>
      <c r="I708" s="10"/>
      <c r="J708" s="6"/>
    </row>
    <row r="709">
      <c r="A709" s="10"/>
      <c r="B709" s="10"/>
      <c r="C709" s="10"/>
      <c r="D709" s="10"/>
      <c r="E709" s="10"/>
      <c r="F709" s="120"/>
      <c r="G709" s="120"/>
      <c r="H709" s="120"/>
      <c r="I709" s="10"/>
      <c r="J709" s="6"/>
    </row>
    <row r="710">
      <c r="A710" s="10"/>
      <c r="B710" s="10"/>
      <c r="C710" s="10"/>
      <c r="D710" s="10"/>
      <c r="E710" s="10"/>
      <c r="F710" s="120"/>
      <c r="G710" s="120"/>
      <c r="H710" s="120"/>
      <c r="I710" s="10"/>
      <c r="J710" s="6"/>
    </row>
    <row r="711">
      <c r="A711" s="10"/>
      <c r="B711" s="10"/>
      <c r="C711" s="10"/>
      <c r="D711" s="10"/>
      <c r="E711" s="10"/>
      <c r="F711" s="120"/>
      <c r="G711" s="120"/>
      <c r="H711" s="120"/>
      <c r="I711" s="10"/>
      <c r="J711" s="6"/>
    </row>
    <row r="712">
      <c r="A712" s="10"/>
      <c r="B712" s="10"/>
      <c r="C712" s="10"/>
      <c r="D712" s="10"/>
      <c r="E712" s="10"/>
      <c r="F712" s="120"/>
      <c r="G712" s="120"/>
      <c r="H712" s="120"/>
      <c r="I712" s="10"/>
      <c r="J712" s="6"/>
    </row>
    <row r="713">
      <c r="A713" s="10"/>
      <c r="B713" s="10"/>
      <c r="C713" s="10"/>
      <c r="D713" s="10"/>
      <c r="E713" s="10"/>
      <c r="F713" s="120"/>
      <c r="G713" s="120"/>
      <c r="H713" s="120"/>
      <c r="I713" s="10"/>
      <c r="J713" s="6"/>
    </row>
    <row r="714">
      <c r="A714" s="10"/>
      <c r="B714" s="10"/>
      <c r="C714" s="10"/>
      <c r="D714" s="10"/>
      <c r="E714" s="10"/>
      <c r="F714" s="120"/>
      <c r="G714" s="120"/>
      <c r="H714" s="120"/>
      <c r="I714" s="10"/>
      <c r="J714" s="6"/>
    </row>
    <row r="715">
      <c r="A715" s="10"/>
      <c r="B715" s="10"/>
      <c r="C715" s="10"/>
      <c r="D715" s="10"/>
      <c r="E715" s="10"/>
      <c r="F715" s="120"/>
      <c r="G715" s="120"/>
      <c r="H715" s="120"/>
      <c r="I715" s="10"/>
      <c r="J715" s="6"/>
    </row>
    <row r="716">
      <c r="A716" s="10"/>
      <c r="B716" s="10"/>
      <c r="C716" s="10"/>
      <c r="D716" s="10"/>
      <c r="E716" s="10"/>
      <c r="F716" s="120"/>
      <c r="G716" s="120"/>
      <c r="H716" s="120"/>
      <c r="I716" s="10"/>
      <c r="J716" s="6"/>
    </row>
    <row r="717">
      <c r="A717" s="10"/>
      <c r="B717" s="10"/>
      <c r="C717" s="10"/>
      <c r="D717" s="10"/>
      <c r="E717" s="10"/>
      <c r="F717" s="120"/>
      <c r="G717" s="120"/>
      <c r="H717" s="120"/>
      <c r="I717" s="10"/>
      <c r="J717" s="6"/>
    </row>
    <row r="718">
      <c r="A718" s="10"/>
      <c r="B718" s="10"/>
      <c r="C718" s="10"/>
      <c r="D718" s="10"/>
      <c r="E718" s="10"/>
      <c r="F718" s="120"/>
      <c r="G718" s="120"/>
      <c r="H718" s="120"/>
      <c r="I718" s="10"/>
      <c r="J718" s="6"/>
    </row>
    <row r="719">
      <c r="A719" s="10"/>
      <c r="B719" s="10"/>
      <c r="C719" s="10"/>
      <c r="D719" s="10"/>
      <c r="E719" s="10"/>
      <c r="F719" s="120"/>
      <c r="G719" s="120"/>
      <c r="H719" s="120"/>
      <c r="I719" s="10"/>
      <c r="J719" s="6"/>
    </row>
    <row r="720">
      <c r="A720" s="10"/>
      <c r="B720" s="10"/>
      <c r="C720" s="10"/>
      <c r="D720" s="10"/>
      <c r="E720" s="10"/>
      <c r="F720" s="120"/>
      <c r="G720" s="120"/>
      <c r="H720" s="120"/>
      <c r="I720" s="10"/>
      <c r="J720" s="6"/>
    </row>
    <row r="721">
      <c r="A721" s="10"/>
      <c r="B721" s="10"/>
      <c r="C721" s="10"/>
      <c r="D721" s="10"/>
      <c r="E721" s="10"/>
      <c r="F721" s="120"/>
      <c r="G721" s="120"/>
      <c r="H721" s="120"/>
      <c r="I721" s="10"/>
      <c r="J721" s="6"/>
    </row>
    <row r="722">
      <c r="A722" s="10"/>
      <c r="B722" s="10"/>
      <c r="C722" s="10"/>
      <c r="D722" s="10"/>
      <c r="E722" s="10"/>
      <c r="F722" s="120"/>
      <c r="G722" s="120"/>
      <c r="H722" s="120"/>
      <c r="I722" s="10"/>
      <c r="J722" s="6"/>
    </row>
    <row r="723">
      <c r="A723" s="10"/>
      <c r="B723" s="10"/>
      <c r="C723" s="10"/>
      <c r="D723" s="10"/>
      <c r="E723" s="10"/>
      <c r="F723" s="120"/>
      <c r="G723" s="120"/>
      <c r="H723" s="120"/>
      <c r="I723" s="10"/>
      <c r="J723" s="6"/>
    </row>
    <row r="724">
      <c r="A724" s="10"/>
      <c r="B724" s="10"/>
      <c r="C724" s="10"/>
      <c r="D724" s="10"/>
      <c r="E724" s="10"/>
      <c r="F724" s="120"/>
      <c r="G724" s="120"/>
      <c r="H724" s="120"/>
      <c r="I724" s="10"/>
      <c r="J724" s="6"/>
    </row>
    <row r="725">
      <c r="A725" s="10"/>
      <c r="B725" s="10"/>
      <c r="C725" s="10"/>
      <c r="D725" s="10"/>
      <c r="E725" s="10"/>
      <c r="F725" s="120"/>
      <c r="G725" s="120"/>
      <c r="H725" s="120"/>
      <c r="I725" s="10"/>
      <c r="J725" s="6"/>
    </row>
    <row r="726">
      <c r="A726" s="10"/>
      <c r="B726" s="10"/>
      <c r="C726" s="10"/>
      <c r="D726" s="10"/>
      <c r="E726" s="10"/>
      <c r="F726" s="120"/>
      <c r="G726" s="120"/>
      <c r="H726" s="120"/>
      <c r="I726" s="10"/>
      <c r="J726" s="6"/>
    </row>
    <row r="727">
      <c r="A727" s="10"/>
      <c r="B727" s="10"/>
      <c r="C727" s="10"/>
      <c r="D727" s="10"/>
      <c r="E727" s="10"/>
      <c r="F727" s="120"/>
      <c r="G727" s="120"/>
      <c r="H727" s="120"/>
      <c r="I727" s="10"/>
      <c r="J727" s="6"/>
    </row>
    <row r="728">
      <c r="A728" s="10"/>
      <c r="B728" s="10"/>
      <c r="C728" s="10"/>
      <c r="D728" s="10"/>
      <c r="E728" s="10"/>
      <c r="F728" s="120"/>
      <c r="G728" s="120"/>
      <c r="H728" s="120"/>
      <c r="I728" s="10"/>
      <c r="J728" s="6"/>
    </row>
    <row r="729">
      <c r="A729" s="10"/>
      <c r="B729" s="10"/>
      <c r="C729" s="10"/>
      <c r="D729" s="10"/>
      <c r="E729" s="10"/>
      <c r="F729" s="120"/>
      <c r="G729" s="120"/>
      <c r="H729" s="120"/>
      <c r="I729" s="10"/>
      <c r="J729" s="6"/>
    </row>
    <row r="730">
      <c r="A730" s="10"/>
      <c r="B730" s="10"/>
      <c r="C730" s="10"/>
      <c r="D730" s="10"/>
      <c r="E730" s="10"/>
      <c r="F730" s="120"/>
      <c r="G730" s="120"/>
      <c r="H730" s="120"/>
      <c r="I730" s="10"/>
      <c r="J730" s="6"/>
    </row>
    <row r="731">
      <c r="A731" s="10"/>
      <c r="B731" s="10"/>
      <c r="C731" s="10"/>
      <c r="D731" s="10"/>
      <c r="E731" s="10"/>
      <c r="F731" s="120"/>
      <c r="G731" s="120"/>
      <c r="H731" s="120"/>
      <c r="I731" s="10"/>
      <c r="J731" s="6"/>
    </row>
    <row r="732">
      <c r="A732" s="10"/>
      <c r="B732" s="10"/>
      <c r="C732" s="10"/>
      <c r="D732" s="10"/>
      <c r="E732" s="10"/>
      <c r="F732" s="120"/>
      <c r="G732" s="120"/>
      <c r="H732" s="120"/>
      <c r="I732" s="10"/>
      <c r="J732" s="6"/>
    </row>
    <row r="733">
      <c r="A733" s="10"/>
      <c r="B733" s="10"/>
      <c r="C733" s="10"/>
      <c r="D733" s="10"/>
      <c r="E733" s="10"/>
      <c r="F733" s="120"/>
      <c r="G733" s="120"/>
      <c r="H733" s="120"/>
      <c r="I733" s="10"/>
      <c r="J733" s="6"/>
    </row>
    <row r="734">
      <c r="A734" s="10"/>
      <c r="B734" s="10"/>
      <c r="C734" s="10"/>
      <c r="D734" s="10"/>
      <c r="E734" s="10"/>
      <c r="F734" s="120"/>
      <c r="G734" s="120"/>
      <c r="H734" s="120"/>
      <c r="I734" s="10"/>
      <c r="J734" s="6"/>
    </row>
    <row r="735">
      <c r="A735" s="10"/>
      <c r="B735" s="10"/>
      <c r="C735" s="10"/>
      <c r="D735" s="10"/>
      <c r="E735" s="10"/>
      <c r="F735" s="120"/>
      <c r="G735" s="120"/>
      <c r="H735" s="120"/>
      <c r="I735" s="10"/>
      <c r="J735" s="6"/>
    </row>
    <row r="736">
      <c r="A736" s="10"/>
      <c r="B736" s="10"/>
      <c r="C736" s="10"/>
      <c r="D736" s="10"/>
      <c r="E736" s="10"/>
      <c r="F736" s="120"/>
      <c r="G736" s="120"/>
      <c r="H736" s="120"/>
      <c r="I736" s="10"/>
      <c r="J736" s="6"/>
    </row>
    <row r="737">
      <c r="A737" s="10"/>
      <c r="B737" s="10"/>
      <c r="C737" s="10"/>
      <c r="D737" s="10"/>
      <c r="E737" s="10"/>
      <c r="F737" s="120"/>
      <c r="G737" s="120"/>
      <c r="H737" s="120"/>
      <c r="I737" s="10"/>
      <c r="J737" s="6"/>
    </row>
    <row r="738">
      <c r="A738" s="10"/>
      <c r="B738" s="10"/>
      <c r="C738" s="10"/>
      <c r="D738" s="10"/>
      <c r="E738" s="10"/>
      <c r="F738" s="120"/>
      <c r="G738" s="120"/>
      <c r="H738" s="120"/>
      <c r="I738" s="10"/>
      <c r="J738" s="6"/>
    </row>
    <row r="739">
      <c r="A739" s="10"/>
      <c r="B739" s="10"/>
      <c r="C739" s="10"/>
      <c r="D739" s="10"/>
      <c r="E739" s="10"/>
      <c r="F739" s="120"/>
      <c r="G739" s="120"/>
      <c r="H739" s="120"/>
      <c r="I739" s="10"/>
      <c r="J739" s="6"/>
    </row>
    <row r="740">
      <c r="A740" s="10"/>
      <c r="B740" s="10"/>
      <c r="C740" s="10"/>
      <c r="D740" s="10"/>
      <c r="E740" s="10"/>
      <c r="F740" s="120"/>
      <c r="G740" s="120"/>
      <c r="H740" s="120"/>
      <c r="I740" s="10"/>
      <c r="J740" s="6"/>
    </row>
    <row r="741">
      <c r="A741" s="10"/>
      <c r="B741" s="10"/>
      <c r="C741" s="10"/>
      <c r="D741" s="10"/>
      <c r="E741" s="10"/>
      <c r="F741" s="120"/>
      <c r="G741" s="120"/>
      <c r="H741" s="120"/>
      <c r="I741" s="10"/>
      <c r="J741" s="6"/>
    </row>
    <row r="742">
      <c r="A742" s="10"/>
      <c r="B742" s="10"/>
      <c r="C742" s="10"/>
      <c r="D742" s="10"/>
      <c r="E742" s="10"/>
      <c r="F742" s="120"/>
      <c r="G742" s="120"/>
      <c r="H742" s="120"/>
      <c r="I742" s="10"/>
      <c r="J742" s="6"/>
    </row>
    <row r="743">
      <c r="A743" s="10"/>
      <c r="B743" s="10"/>
      <c r="C743" s="10"/>
      <c r="D743" s="10"/>
      <c r="E743" s="10"/>
      <c r="F743" s="120"/>
      <c r="G743" s="120"/>
      <c r="H743" s="120"/>
      <c r="I743" s="10"/>
      <c r="J743" s="6"/>
    </row>
    <row r="744">
      <c r="A744" s="10"/>
      <c r="B744" s="10"/>
      <c r="C744" s="10"/>
      <c r="D744" s="10"/>
      <c r="E744" s="10"/>
      <c r="F744" s="120"/>
      <c r="G744" s="120"/>
      <c r="H744" s="120"/>
      <c r="I744" s="10"/>
      <c r="J744" s="6"/>
    </row>
    <row r="745">
      <c r="A745" s="10"/>
      <c r="B745" s="10"/>
      <c r="C745" s="10"/>
      <c r="D745" s="10"/>
      <c r="E745" s="10"/>
      <c r="F745" s="120"/>
      <c r="G745" s="120"/>
      <c r="H745" s="120"/>
      <c r="I745" s="10"/>
      <c r="J745" s="6"/>
    </row>
    <row r="746">
      <c r="A746" s="10"/>
      <c r="B746" s="10"/>
      <c r="C746" s="10"/>
      <c r="D746" s="10"/>
      <c r="E746" s="10"/>
      <c r="F746" s="120"/>
      <c r="G746" s="120"/>
      <c r="H746" s="120"/>
      <c r="I746" s="10"/>
      <c r="J746" s="6"/>
    </row>
    <row r="747">
      <c r="A747" s="10"/>
      <c r="B747" s="10"/>
      <c r="C747" s="10"/>
      <c r="D747" s="10"/>
      <c r="E747" s="10"/>
      <c r="F747" s="120"/>
      <c r="G747" s="120"/>
      <c r="H747" s="120"/>
      <c r="I747" s="10"/>
      <c r="J747" s="6"/>
    </row>
    <row r="748">
      <c r="A748" s="10"/>
      <c r="B748" s="10"/>
      <c r="C748" s="10"/>
      <c r="D748" s="10"/>
      <c r="E748" s="10"/>
      <c r="F748" s="120"/>
      <c r="G748" s="120"/>
      <c r="H748" s="120"/>
      <c r="I748" s="10"/>
      <c r="J748" s="6"/>
    </row>
    <row r="749">
      <c r="A749" s="10"/>
      <c r="B749" s="10"/>
      <c r="C749" s="10"/>
      <c r="D749" s="10"/>
      <c r="E749" s="10"/>
      <c r="F749" s="120"/>
      <c r="G749" s="120"/>
      <c r="H749" s="120"/>
      <c r="I749" s="10"/>
      <c r="J749" s="6"/>
    </row>
    <row r="750">
      <c r="A750" s="10"/>
      <c r="B750" s="10"/>
      <c r="C750" s="10"/>
      <c r="D750" s="10"/>
      <c r="E750" s="10"/>
      <c r="F750" s="120"/>
      <c r="G750" s="120"/>
      <c r="H750" s="120"/>
      <c r="I750" s="10"/>
      <c r="J750" s="6"/>
    </row>
    <row r="751">
      <c r="A751" s="10"/>
      <c r="B751" s="10"/>
      <c r="C751" s="10"/>
      <c r="D751" s="10"/>
      <c r="E751" s="10"/>
      <c r="F751" s="120"/>
      <c r="G751" s="120"/>
      <c r="H751" s="120"/>
      <c r="I751" s="10"/>
      <c r="J751" s="6"/>
    </row>
    <row r="752">
      <c r="A752" s="10"/>
      <c r="B752" s="10"/>
      <c r="C752" s="10"/>
      <c r="D752" s="10"/>
      <c r="E752" s="10"/>
      <c r="F752" s="120"/>
      <c r="G752" s="120"/>
      <c r="H752" s="120"/>
      <c r="I752" s="10"/>
      <c r="J752" s="6"/>
    </row>
    <row r="753">
      <c r="A753" s="10"/>
      <c r="B753" s="10"/>
      <c r="C753" s="10"/>
      <c r="D753" s="10"/>
      <c r="E753" s="10"/>
      <c r="F753" s="120"/>
      <c r="G753" s="120"/>
      <c r="H753" s="120"/>
      <c r="I753" s="10"/>
      <c r="J753" s="6"/>
    </row>
    <row r="754">
      <c r="A754" s="10"/>
      <c r="B754" s="10"/>
      <c r="C754" s="10"/>
      <c r="D754" s="10"/>
      <c r="E754" s="10"/>
      <c r="F754" s="120"/>
      <c r="G754" s="120"/>
      <c r="H754" s="120"/>
      <c r="I754" s="10"/>
      <c r="J754" s="6"/>
    </row>
    <row r="755">
      <c r="A755" s="10"/>
      <c r="B755" s="10"/>
      <c r="C755" s="10"/>
      <c r="D755" s="10"/>
      <c r="E755" s="10"/>
      <c r="F755" s="120"/>
      <c r="G755" s="120"/>
      <c r="H755" s="120"/>
      <c r="I755" s="10"/>
      <c r="J755" s="6"/>
    </row>
    <row r="756">
      <c r="A756" s="10"/>
      <c r="B756" s="10"/>
      <c r="C756" s="10"/>
      <c r="D756" s="10"/>
      <c r="E756" s="10"/>
      <c r="F756" s="120"/>
      <c r="G756" s="120"/>
      <c r="H756" s="120"/>
      <c r="I756" s="10"/>
      <c r="J756" s="6"/>
    </row>
    <row r="757">
      <c r="A757" s="10"/>
      <c r="B757" s="10"/>
      <c r="C757" s="10"/>
      <c r="D757" s="10"/>
      <c r="E757" s="10"/>
      <c r="F757" s="120"/>
      <c r="G757" s="120"/>
      <c r="H757" s="120"/>
      <c r="I757" s="10"/>
      <c r="J757" s="6"/>
    </row>
    <row r="758">
      <c r="A758" s="10"/>
      <c r="B758" s="10"/>
      <c r="C758" s="10"/>
      <c r="D758" s="10"/>
      <c r="E758" s="10"/>
      <c r="F758" s="120"/>
      <c r="G758" s="120"/>
      <c r="H758" s="120"/>
      <c r="I758" s="10"/>
      <c r="J758" s="6"/>
    </row>
    <row r="759">
      <c r="A759" s="10"/>
      <c r="B759" s="10"/>
      <c r="C759" s="10"/>
      <c r="D759" s="10"/>
      <c r="E759" s="10"/>
      <c r="F759" s="120"/>
      <c r="G759" s="120"/>
      <c r="H759" s="120"/>
      <c r="I759" s="10"/>
      <c r="J759" s="6"/>
    </row>
    <row r="760">
      <c r="A760" s="10"/>
      <c r="B760" s="10"/>
      <c r="C760" s="10"/>
      <c r="D760" s="10"/>
      <c r="E760" s="10"/>
      <c r="F760" s="120"/>
      <c r="G760" s="120"/>
      <c r="H760" s="120"/>
      <c r="I760" s="10"/>
      <c r="J760" s="6"/>
    </row>
    <row r="761">
      <c r="A761" s="10"/>
      <c r="B761" s="10"/>
      <c r="C761" s="10"/>
      <c r="D761" s="10"/>
      <c r="E761" s="10"/>
      <c r="F761" s="120"/>
      <c r="G761" s="120"/>
      <c r="H761" s="120"/>
      <c r="I761" s="10"/>
      <c r="J761" s="6"/>
    </row>
    <row r="762">
      <c r="A762" s="10"/>
      <c r="B762" s="10"/>
      <c r="C762" s="10"/>
      <c r="D762" s="10"/>
      <c r="E762" s="10"/>
      <c r="F762" s="120"/>
      <c r="G762" s="120"/>
      <c r="H762" s="120"/>
      <c r="I762" s="10"/>
      <c r="J762" s="6"/>
    </row>
    <row r="763">
      <c r="A763" s="10"/>
      <c r="B763" s="10"/>
      <c r="C763" s="10"/>
      <c r="D763" s="10"/>
      <c r="E763" s="10"/>
      <c r="F763" s="120"/>
      <c r="G763" s="120"/>
      <c r="H763" s="120"/>
      <c r="I763" s="10"/>
      <c r="J763" s="6"/>
    </row>
    <row r="764">
      <c r="A764" s="10"/>
      <c r="B764" s="10"/>
      <c r="C764" s="10"/>
      <c r="D764" s="10"/>
      <c r="E764" s="10"/>
      <c r="F764" s="120"/>
      <c r="G764" s="120"/>
      <c r="H764" s="120"/>
      <c r="I764" s="10"/>
      <c r="J764" s="6"/>
    </row>
    <row r="765">
      <c r="A765" s="10"/>
      <c r="B765" s="10"/>
      <c r="C765" s="10"/>
      <c r="D765" s="10"/>
      <c r="E765" s="10"/>
      <c r="F765" s="120"/>
      <c r="G765" s="120"/>
      <c r="H765" s="120"/>
      <c r="I765" s="10"/>
      <c r="J765" s="6"/>
    </row>
    <row r="766">
      <c r="A766" s="10"/>
      <c r="B766" s="10"/>
      <c r="C766" s="10"/>
      <c r="D766" s="10"/>
      <c r="E766" s="10"/>
      <c r="F766" s="120"/>
      <c r="G766" s="120"/>
      <c r="H766" s="120"/>
      <c r="I766" s="10"/>
      <c r="J766" s="6"/>
    </row>
    <row r="767">
      <c r="A767" s="10"/>
      <c r="B767" s="10"/>
      <c r="C767" s="10"/>
      <c r="D767" s="10"/>
      <c r="E767" s="10"/>
      <c r="F767" s="120"/>
      <c r="G767" s="120"/>
      <c r="H767" s="120"/>
      <c r="I767" s="10"/>
      <c r="J767" s="6"/>
    </row>
    <row r="768">
      <c r="A768" s="10"/>
      <c r="B768" s="10"/>
      <c r="C768" s="10"/>
      <c r="D768" s="10"/>
      <c r="E768" s="10"/>
      <c r="F768" s="120"/>
      <c r="G768" s="120"/>
      <c r="H768" s="120"/>
      <c r="I768" s="10"/>
      <c r="J768" s="6"/>
    </row>
    <row r="769">
      <c r="A769" s="10"/>
      <c r="B769" s="10"/>
      <c r="C769" s="10"/>
      <c r="D769" s="10"/>
      <c r="E769" s="10"/>
      <c r="F769" s="120"/>
      <c r="G769" s="120"/>
      <c r="H769" s="120"/>
      <c r="I769" s="10"/>
      <c r="J769" s="6"/>
    </row>
    <row r="770">
      <c r="A770" s="10"/>
      <c r="B770" s="10"/>
      <c r="C770" s="10"/>
      <c r="D770" s="10"/>
      <c r="E770" s="10"/>
      <c r="F770" s="120"/>
      <c r="G770" s="120"/>
      <c r="H770" s="120"/>
      <c r="I770" s="10"/>
      <c r="J770" s="6"/>
    </row>
    <row r="771">
      <c r="A771" s="10"/>
      <c r="B771" s="10"/>
      <c r="C771" s="10"/>
      <c r="D771" s="10"/>
      <c r="E771" s="10"/>
      <c r="F771" s="120"/>
      <c r="G771" s="120"/>
      <c r="H771" s="120"/>
      <c r="I771" s="10"/>
      <c r="J771" s="6"/>
    </row>
    <row r="772">
      <c r="A772" s="10"/>
      <c r="B772" s="10"/>
      <c r="C772" s="10"/>
      <c r="D772" s="10"/>
      <c r="E772" s="10"/>
      <c r="F772" s="120"/>
      <c r="G772" s="120"/>
      <c r="H772" s="120"/>
      <c r="I772" s="10"/>
      <c r="J772" s="6"/>
    </row>
    <row r="773">
      <c r="A773" s="10"/>
      <c r="B773" s="10"/>
      <c r="C773" s="10"/>
      <c r="D773" s="10"/>
      <c r="E773" s="10"/>
      <c r="F773" s="120"/>
      <c r="G773" s="120"/>
      <c r="H773" s="120"/>
      <c r="I773" s="10"/>
      <c r="J773" s="6"/>
    </row>
    <row r="774">
      <c r="A774" s="10"/>
      <c r="B774" s="10"/>
      <c r="C774" s="10"/>
      <c r="D774" s="10"/>
      <c r="E774" s="10"/>
      <c r="F774" s="120"/>
      <c r="G774" s="120"/>
      <c r="H774" s="120"/>
      <c r="I774" s="10"/>
      <c r="J774" s="6"/>
    </row>
    <row r="775">
      <c r="A775" s="10"/>
      <c r="B775" s="10"/>
      <c r="C775" s="10"/>
      <c r="D775" s="10"/>
      <c r="E775" s="10"/>
      <c r="F775" s="120"/>
      <c r="G775" s="120"/>
      <c r="H775" s="120"/>
      <c r="I775" s="10"/>
      <c r="J775" s="6"/>
    </row>
    <row r="776">
      <c r="A776" s="10"/>
      <c r="B776" s="10"/>
      <c r="C776" s="10"/>
      <c r="D776" s="10"/>
      <c r="E776" s="10"/>
      <c r="F776" s="120"/>
      <c r="G776" s="120"/>
      <c r="H776" s="120"/>
      <c r="I776" s="10"/>
      <c r="J776" s="6"/>
    </row>
    <row r="777">
      <c r="A777" s="10"/>
      <c r="B777" s="10"/>
      <c r="C777" s="10"/>
      <c r="D777" s="10"/>
      <c r="E777" s="10"/>
      <c r="F777" s="120"/>
      <c r="G777" s="120"/>
      <c r="H777" s="120"/>
      <c r="I777" s="10"/>
      <c r="J777" s="6"/>
    </row>
    <row r="778">
      <c r="A778" s="10"/>
      <c r="B778" s="10"/>
      <c r="C778" s="10"/>
      <c r="D778" s="10"/>
      <c r="E778" s="10"/>
      <c r="F778" s="120"/>
      <c r="G778" s="120"/>
      <c r="H778" s="120"/>
      <c r="I778" s="10"/>
      <c r="J778" s="6"/>
    </row>
    <row r="779">
      <c r="A779" s="10"/>
      <c r="B779" s="10"/>
      <c r="C779" s="10"/>
      <c r="D779" s="10"/>
      <c r="E779" s="10"/>
      <c r="F779" s="120"/>
      <c r="G779" s="120"/>
      <c r="H779" s="120"/>
      <c r="I779" s="10"/>
      <c r="J779" s="6"/>
    </row>
    <row r="780">
      <c r="A780" s="10"/>
      <c r="B780" s="10"/>
      <c r="C780" s="10"/>
      <c r="D780" s="10"/>
      <c r="E780" s="10"/>
      <c r="F780" s="120"/>
      <c r="G780" s="120"/>
      <c r="H780" s="120"/>
      <c r="I780" s="10"/>
      <c r="J780" s="6"/>
    </row>
    <row r="781">
      <c r="A781" s="10"/>
      <c r="B781" s="10"/>
      <c r="C781" s="10"/>
      <c r="D781" s="10"/>
      <c r="E781" s="10"/>
      <c r="F781" s="120"/>
      <c r="G781" s="120"/>
      <c r="H781" s="120"/>
      <c r="I781" s="10"/>
      <c r="J781" s="6"/>
    </row>
    <row r="782">
      <c r="A782" s="10"/>
      <c r="B782" s="10"/>
      <c r="C782" s="10"/>
      <c r="D782" s="10"/>
      <c r="E782" s="10"/>
      <c r="F782" s="120"/>
      <c r="G782" s="120"/>
      <c r="H782" s="120"/>
      <c r="I782" s="10"/>
      <c r="J782" s="6"/>
    </row>
    <row r="783">
      <c r="A783" s="10"/>
      <c r="B783" s="10"/>
      <c r="C783" s="10"/>
      <c r="D783" s="10"/>
      <c r="E783" s="10"/>
      <c r="F783" s="120"/>
      <c r="G783" s="120"/>
      <c r="H783" s="120"/>
      <c r="I783" s="10"/>
      <c r="J783" s="6"/>
    </row>
    <row r="784">
      <c r="A784" s="10"/>
      <c r="B784" s="10"/>
      <c r="C784" s="10"/>
      <c r="D784" s="10"/>
      <c r="E784" s="10"/>
      <c r="F784" s="120"/>
      <c r="G784" s="120"/>
      <c r="H784" s="120"/>
      <c r="I784" s="10"/>
      <c r="J784" s="6"/>
    </row>
    <row r="785">
      <c r="A785" s="10"/>
      <c r="B785" s="10"/>
      <c r="C785" s="10"/>
      <c r="D785" s="10"/>
      <c r="E785" s="10"/>
      <c r="F785" s="120"/>
      <c r="G785" s="120"/>
      <c r="H785" s="120"/>
      <c r="I785" s="10"/>
      <c r="J785" s="6"/>
    </row>
    <row r="786">
      <c r="A786" s="10"/>
      <c r="B786" s="10"/>
      <c r="C786" s="10"/>
      <c r="D786" s="10"/>
      <c r="E786" s="10"/>
      <c r="F786" s="120"/>
      <c r="G786" s="120"/>
      <c r="H786" s="120"/>
      <c r="I786" s="10"/>
      <c r="J786" s="6"/>
    </row>
    <row r="787">
      <c r="A787" s="10"/>
      <c r="B787" s="10"/>
      <c r="C787" s="10"/>
      <c r="D787" s="10"/>
      <c r="E787" s="10"/>
      <c r="F787" s="120"/>
      <c r="G787" s="120"/>
      <c r="H787" s="120"/>
      <c r="I787" s="10"/>
      <c r="J787" s="6"/>
    </row>
    <row r="788">
      <c r="A788" s="10"/>
      <c r="B788" s="10"/>
      <c r="C788" s="10"/>
      <c r="D788" s="10"/>
      <c r="E788" s="10"/>
      <c r="F788" s="120"/>
      <c r="G788" s="120"/>
      <c r="H788" s="120"/>
      <c r="I788" s="10"/>
      <c r="J788" s="6"/>
    </row>
    <row r="789">
      <c r="A789" s="10"/>
      <c r="B789" s="10"/>
      <c r="C789" s="10"/>
      <c r="D789" s="10"/>
      <c r="E789" s="10"/>
      <c r="F789" s="120"/>
      <c r="G789" s="120"/>
      <c r="H789" s="120"/>
      <c r="I789" s="10"/>
      <c r="J789" s="6"/>
    </row>
    <row r="790">
      <c r="A790" s="10"/>
      <c r="B790" s="10"/>
      <c r="C790" s="10"/>
      <c r="D790" s="10"/>
      <c r="E790" s="10"/>
      <c r="F790" s="120"/>
      <c r="G790" s="120"/>
      <c r="H790" s="120"/>
      <c r="I790" s="10"/>
      <c r="J790" s="6"/>
    </row>
    <row r="791">
      <c r="A791" s="10"/>
      <c r="B791" s="10"/>
      <c r="C791" s="10"/>
      <c r="D791" s="10"/>
      <c r="E791" s="10"/>
      <c r="F791" s="120"/>
      <c r="G791" s="120"/>
      <c r="H791" s="120"/>
      <c r="I791" s="10"/>
      <c r="J791" s="6"/>
    </row>
    <row r="792">
      <c r="A792" s="10"/>
      <c r="B792" s="10"/>
      <c r="C792" s="10"/>
      <c r="D792" s="10"/>
      <c r="E792" s="10"/>
      <c r="F792" s="120"/>
      <c r="G792" s="120"/>
      <c r="H792" s="120"/>
      <c r="I792" s="10"/>
      <c r="J792" s="6"/>
    </row>
    <row r="793">
      <c r="A793" s="10"/>
      <c r="B793" s="10"/>
      <c r="C793" s="10"/>
      <c r="D793" s="10"/>
      <c r="E793" s="10"/>
      <c r="F793" s="120"/>
      <c r="G793" s="120"/>
      <c r="H793" s="120"/>
      <c r="I793" s="10"/>
      <c r="J793" s="6"/>
    </row>
    <row r="794">
      <c r="A794" s="10"/>
      <c r="B794" s="10"/>
      <c r="C794" s="10"/>
      <c r="D794" s="10"/>
      <c r="E794" s="10"/>
      <c r="F794" s="120"/>
      <c r="G794" s="120"/>
      <c r="H794" s="120"/>
      <c r="I794" s="10"/>
      <c r="J794" s="6"/>
    </row>
    <row r="795">
      <c r="A795" s="10"/>
      <c r="B795" s="10"/>
      <c r="C795" s="10"/>
      <c r="D795" s="10"/>
      <c r="E795" s="10"/>
      <c r="F795" s="120"/>
      <c r="G795" s="120"/>
      <c r="H795" s="120"/>
      <c r="I795" s="10"/>
      <c r="J795" s="6"/>
    </row>
    <row r="796">
      <c r="A796" s="10"/>
      <c r="B796" s="10"/>
      <c r="C796" s="10"/>
      <c r="D796" s="10"/>
      <c r="E796" s="10"/>
      <c r="F796" s="120"/>
      <c r="G796" s="120"/>
      <c r="H796" s="120"/>
      <c r="I796" s="10"/>
      <c r="J796" s="6"/>
    </row>
    <row r="797">
      <c r="A797" s="10"/>
      <c r="B797" s="10"/>
      <c r="C797" s="10"/>
      <c r="D797" s="10"/>
      <c r="E797" s="10"/>
      <c r="F797" s="120"/>
      <c r="G797" s="120"/>
      <c r="H797" s="120"/>
      <c r="I797" s="10"/>
      <c r="J797" s="6"/>
    </row>
    <row r="798">
      <c r="A798" s="10"/>
      <c r="B798" s="10"/>
      <c r="C798" s="10"/>
      <c r="D798" s="10"/>
      <c r="E798" s="10"/>
      <c r="F798" s="120"/>
      <c r="G798" s="120"/>
      <c r="H798" s="120"/>
      <c r="I798" s="10"/>
      <c r="J798" s="6"/>
    </row>
    <row r="799">
      <c r="A799" s="10"/>
      <c r="B799" s="10"/>
      <c r="C799" s="10"/>
      <c r="D799" s="10"/>
      <c r="E799" s="10"/>
      <c r="F799" s="120"/>
      <c r="G799" s="120"/>
      <c r="H799" s="120"/>
      <c r="I799" s="10"/>
      <c r="J799" s="6"/>
    </row>
    <row r="800">
      <c r="A800" s="10"/>
      <c r="B800" s="10"/>
      <c r="C800" s="10"/>
      <c r="D800" s="10"/>
      <c r="E800" s="10"/>
      <c r="F800" s="120"/>
      <c r="G800" s="120"/>
      <c r="H800" s="120"/>
      <c r="I800" s="10"/>
      <c r="J800" s="6"/>
    </row>
    <row r="801">
      <c r="A801" s="10"/>
      <c r="B801" s="10"/>
      <c r="C801" s="10"/>
      <c r="D801" s="10"/>
      <c r="E801" s="10"/>
      <c r="F801" s="120"/>
      <c r="G801" s="120"/>
      <c r="H801" s="120"/>
      <c r="I801" s="10"/>
      <c r="J801" s="6"/>
    </row>
    <row r="802">
      <c r="A802" s="10"/>
      <c r="B802" s="10"/>
      <c r="C802" s="10"/>
      <c r="D802" s="10"/>
      <c r="E802" s="10"/>
      <c r="F802" s="120"/>
      <c r="G802" s="120"/>
      <c r="H802" s="120"/>
      <c r="I802" s="10"/>
      <c r="J802" s="6"/>
    </row>
    <row r="803">
      <c r="A803" s="10"/>
      <c r="B803" s="10"/>
      <c r="C803" s="10"/>
      <c r="D803" s="10"/>
      <c r="E803" s="10"/>
      <c r="F803" s="120"/>
      <c r="G803" s="120"/>
      <c r="H803" s="120"/>
      <c r="I803" s="10"/>
      <c r="J803" s="6"/>
    </row>
    <row r="804">
      <c r="A804" s="10"/>
      <c r="B804" s="10"/>
      <c r="C804" s="10"/>
      <c r="D804" s="10"/>
      <c r="E804" s="10"/>
      <c r="F804" s="120"/>
      <c r="G804" s="120"/>
      <c r="H804" s="120"/>
      <c r="I804" s="10"/>
      <c r="J804" s="6"/>
    </row>
    <row r="805">
      <c r="A805" s="10"/>
      <c r="B805" s="10"/>
      <c r="C805" s="10"/>
      <c r="D805" s="10"/>
      <c r="E805" s="10"/>
      <c r="F805" s="120"/>
      <c r="G805" s="120"/>
      <c r="H805" s="120"/>
      <c r="I805" s="10"/>
      <c r="J805" s="6"/>
    </row>
    <row r="806">
      <c r="A806" s="10"/>
      <c r="B806" s="10"/>
      <c r="C806" s="10"/>
      <c r="D806" s="10"/>
      <c r="E806" s="10"/>
      <c r="F806" s="120"/>
      <c r="G806" s="120"/>
      <c r="H806" s="120"/>
      <c r="I806" s="10"/>
      <c r="J806" s="6"/>
    </row>
    <row r="807">
      <c r="A807" s="10"/>
      <c r="B807" s="10"/>
      <c r="C807" s="10"/>
      <c r="D807" s="10"/>
      <c r="E807" s="10"/>
      <c r="F807" s="120"/>
      <c r="G807" s="120"/>
      <c r="H807" s="120"/>
      <c r="I807" s="10"/>
      <c r="J807" s="6"/>
    </row>
    <row r="808">
      <c r="A808" s="10"/>
      <c r="B808" s="10"/>
      <c r="C808" s="10"/>
      <c r="D808" s="10"/>
      <c r="E808" s="10"/>
      <c r="F808" s="120"/>
      <c r="G808" s="120"/>
      <c r="H808" s="120"/>
      <c r="I808" s="10"/>
      <c r="J808" s="6"/>
    </row>
    <row r="809">
      <c r="A809" s="10"/>
      <c r="B809" s="10"/>
      <c r="C809" s="10"/>
      <c r="D809" s="10"/>
      <c r="E809" s="10"/>
      <c r="F809" s="120"/>
      <c r="G809" s="120"/>
      <c r="H809" s="120"/>
      <c r="I809" s="10"/>
      <c r="J809" s="6"/>
    </row>
    <row r="810">
      <c r="A810" s="10"/>
      <c r="B810" s="10"/>
      <c r="C810" s="10"/>
      <c r="D810" s="10"/>
      <c r="E810" s="10"/>
      <c r="F810" s="120"/>
      <c r="G810" s="120"/>
      <c r="H810" s="120"/>
      <c r="I810" s="10"/>
      <c r="J810" s="6"/>
    </row>
    <row r="811">
      <c r="A811" s="10"/>
      <c r="B811" s="10"/>
      <c r="C811" s="10"/>
      <c r="D811" s="10"/>
      <c r="E811" s="10"/>
      <c r="F811" s="120"/>
      <c r="G811" s="120"/>
      <c r="H811" s="120"/>
      <c r="I811" s="10"/>
      <c r="J811" s="6"/>
    </row>
    <row r="812">
      <c r="A812" s="10"/>
      <c r="B812" s="10"/>
      <c r="C812" s="10"/>
      <c r="D812" s="10"/>
      <c r="E812" s="10"/>
      <c r="F812" s="120"/>
      <c r="G812" s="120"/>
      <c r="H812" s="120"/>
      <c r="I812" s="10"/>
      <c r="J812" s="6"/>
    </row>
    <row r="813">
      <c r="A813" s="10"/>
      <c r="B813" s="10"/>
      <c r="C813" s="10"/>
      <c r="D813" s="10"/>
      <c r="E813" s="10"/>
      <c r="F813" s="120"/>
      <c r="G813" s="120"/>
      <c r="H813" s="120"/>
      <c r="I813" s="10"/>
      <c r="J813" s="6"/>
    </row>
    <row r="814">
      <c r="A814" s="10"/>
      <c r="B814" s="10"/>
      <c r="C814" s="10"/>
      <c r="D814" s="10"/>
      <c r="E814" s="10"/>
      <c r="F814" s="120"/>
      <c r="G814" s="120"/>
      <c r="H814" s="120"/>
      <c r="I814" s="10"/>
      <c r="J814" s="6"/>
    </row>
    <row r="815">
      <c r="A815" s="10"/>
      <c r="B815" s="10"/>
      <c r="C815" s="10"/>
      <c r="D815" s="10"/>
      <c r="E815" s="10"/>
      <c r="F815" s="120"/>
      <c r="G815" s="120"/>
      <c r="H815" s="120"/>
      <c r="I815" s="10"/>
      <c r="J815" s="6"/>
    </row>
    <row r="816">
      <c r="A816" s="10"/>
      <c r="B816" s="10"/>
      <c r="C816" s="10"/>
      <c r="D816" s="10"/>
      <c r="E816" s="10"/>
      <c r="F816" s="120"/>
      <c r="G816" s="120"/>
      <c r="H816" s="120"/>
      <c r="I816" s="10"/>
      <c r="J816" s="6"/>
    </row>
    <row r="817">
      <c r="A817" s="10"/>
      <c r="B817" s="10"/>
      <c r="C817" s="10"/>
      <c r="D817" s="10"/>
      <c r="E817" s="10"/>
      <c r="F817" s="120"/>
      <c r="G817" s="120"/>
      <c r="H817" s="120"/>
      <c r="I817" s="10"/>
      <c r="J817" s="6"/>
    </row>
    <row r="818">
      <c r="A818" s="10"/>
      <c r="B818" s="10"/>
      <c r="C818" s="10"/>
      <c r="D818" s="10"/>
      <c r="E818" s="10"/>
      <c r="F818" s="120"/>
      <c r="G818" s="120"/>
      <c r="H818" s="120"/>
      <c r="I818" s="10"/>
      <c r="J818" s="6"/>
    </row>
    <row r="819">
      <c r="A819" s="10"/>
      <c r="B819" s="10"/>
      <c r="C819" s="10"/>
      <c r="D819" s="10"/>
      <c r="E819" s="10"/>
      <c r="F819" s="120"/>
      <c r="G819" s="120"/>
      <c r="H819" s="120"/>
      <c r="I819" s="10"/>
      <c r="J819" s="6"/>
    </row>
    <row r="820">
      <c r="A820" s="10"/>
      <c r="B820" s="10"/>
      <c r="C820" s="10"/>
      <c r="D820" s="10"/>
      <c r="E820" s="10"/>
      <c r="F820" s="120"/>
      <c r="G820" s="120"/>
      <c r="H820" s="120"/>
      <c r="I820" s="10"/>
      <c r="J820" s="6"/>
    </row>
    <row r="821">
      <c r="A821" s="10"/>
      <c r="B821" s="10"/>
      <c r="C821" s="10"/>
      <c r="D821" s="10"/>
      <c r="E821" s="10"/>
      <c r="F821" s="120"/>
      <c r="G821" s="120"/>
      <c r="H821" s="120"/>
      <c r="I821" s="10"/>
      <c r="J821" s="6"/>
    </row>
    <row r="822">
      <c r="A822" s="10"/>
      <c r="B822" s="10"/>
      <c r="C822" s="10"/>
      <c r="D822" s="10"/>
      <c r="E822" s="10"/>
      <c r="F822" s="120"/>
      <c r="G822" s="120"/>
      <c r="H822" s="120"/>
      <c r="I822" s="10"/>
      <c r="J822" s="6"/>
    </row>
    <row r="823">
      <c r="A823" s="10"/>
      <c r="B823" s="10"/>
      <c r="C823" s="10"/>
      <c r="D823" s="10"/>
      <c r="E823" s="10"/>
      <c r="F823" s="120"/>
      <c r="G823" s="120"/>
      <c r="H823" s="120"/>
      <c r="I823" s="10"/>
      <c r="J823" s="6"/>
    </row>
    <row r="824">
      <c r="A824" s="10"/>
      <c r="B824" s="10"/>
      <c r="C824" s="10"/>
      <c r="D824" s="10"/>
      <c r="E824" s="10"/>
      <c r="F824" s="120"/>
      <c r="G824" s="120"/>
      <c r="H824" s="120"/>
      <c r="I824" s="10"/>
      <c r="J824" s="6"/>
    </row>
    <row r="825">
      <c r="A825" s="10"/>
      <c r="B825" s="10"/>
      <c r="C825" s="10"/>
      <c r="D825" s="10"/>
      <c r="E825" s="10"/>
      <c r="F825" s="120"/>
      <c r="G825" s="120"/>
      <c r="H825" s="120"/>
      <c r="I825" s="10"/>
      <c r="J825" s="6"/>
    </row>
    <row r="826">
      <c r="A826" s="10"/>
      <c r="B826" s="10"/>
      <c r="C826" s="10"/>
      <c r="D826" s="10"/>
      <c r="E826" s="10"/>
      <c r="F826" s="120"/>
      <c r="G826" s="120"/>
      <c r="H826" s="120"/>
      <c r="I826" s="10"/>
      <c r="J826" s="6"/>
    </row>
    <row r="827">
      <c r="A827" s="10"/>
      <c r="B827" s="10"/>
      <c r="C827" s="10"/>
      <c r="D827" s="10"/>
      <c r="E827" s="10"/>
      <c r="F827" s="120"/>
      <c r="G827" s="120"/>
      <c r="H827" s="120"/>
      <c r="I827" s="10"/>
      <c r="J827" s="6"/>
    </row>
    <row r="828">
      <c r="A828" s="10"/>
      <c r="B828" s="10"/>
      <c r="C828" s="10"/>
      <c r="D828" s="10"/>
      <c r="E828" s="10"/>
      <c r="F828" s="120"/>
      <c r="G828" s="120"/>
      <c r="H828" s="120"/>
      <c r="I828" s="10"/>
      <c r="J828" s="6"/>
    </row>
    <row r="829">
      <c r="A829" s="10"/>
      <c r="B829" s="10"/>
      <c r="C829" s="10"/>
      <c r="D829" s="10"/>
      <c r="E829" s="10"/>
      <c r="F829" s="120"/>
      <c r="G829" s="120"/>
      <c r="H829" s="120"/>
      <c r="I829" s="10"/>
      <c r="J829" s="6"/>
    </row>
    <row r="830">
      <c r="A830" s="10"/>
      <c r="B830" s="10"/>
      <c r="C830" s="10"/>
      <c r="D830" s="10"/>
      <c r="E830" s="10"/>
      <c r="F830" s="120"/>
      <c r="G830" s="120"/>
      <c r="H830" s="120"/>
      <c r="I830" s="10"/>
      <c r="J830" s="6"/>
    </row>
    <row r="831">
      <c r="A831" s="10"/>
      <c r="B831" s="10"/>
      <c r="C831" s="10"/>
      <c r="D831" s="10"/>
      <c r="E831" s="10"/>
      <c r="F831" s="120"/>
      <c r="G831" s="120"/>
      <c r="H831" s="120"/>
      <c r="I831" s="10"/>
      <c r="J831" s="6"/>
    </row>
    <row r="832">
      <c r="A832" s="10"/>
      <c r="B832" s="10"/>
      <c r="C832" s="10"/>
      <c r="D832" s="10"/>
      <c r="E832" s="10"/>
      <c r="F832" s="120"/>
      <c r="G832" s="120"/>
      <c r="H832" s="120"/>
      <c r="I832" s="10"/>
      <c r="J832" s="6"/>
    </row>
    <row r="833">
      <c r="A833" s="10"/>
      <c r="B833" s="10"/>
      <c r="C833" s="10"/>
      <c r="D833" s="10"/>
      <c r="E833" s="10"/>
      <c r="F833" s="120"/>
      <c r="G833" s="120"/>
      <c r="H833" s="120"/>
      <c r="I833" s="10"/>
      <c r="J833" s="6"/>
    </row>
    <row r="834">
      <c r="A834" s="10"/>
      <c r="B834" s="10"/>
      <c r="C834" s="10"/>
      <c r="D834" s="10"/>
      <c r="E834" s="10"/>
      <c r="F834" s="120"/>
      <c r="G834" s="120"/>
      <c r="H834" s="120"/>
      <c r="I834" s="10"/>
      <c r="J834" s="6"/>
    </row>
    <row r="835">
      <c r="A835" s="10"/>
      <c r="B835" s="10"/>
      <c r="C835" s="10"/>
      <c r="D835" s="10"/>
      <c r="E835" s="10"/>
      <c r="F835" s="120"/>
      <c r="G835" s="120"/>
      <c r="H835" s="120"/>
      <c r="I835" s="10"/>
      <c r="J835" s="6"/>
    </row>
    <row r="836">
      <c r="A836" s="10"/>
      <c r="B836" s="10"/>
      <c r="C836" s="10"/>
      <c r="D836" s="10"/>
      <c r="E836" s="10"/>
      <c r="F836" s="120"/>
      <c r="G836" s="120"/>
      <c r="H836" s="120"/>
      <c r="I836" s="10"/>
      <c r="J836" s="6"/>
    </row>
    <row r="837">
      <c r="A837" s="10"/>
      <c r="B837" s="10"/>
      <c r="C837" s="10"/>
      <c r="D837" s="10"/>
      <c r="E837" s="10"/>
      <c r="F837" s="120"/>
      <c r="G837" s="120"/>
      <c r="H837" s="120"/>
      <c r="I837" s="10"/>
      <c r="J837" s="6"/>
    </row>
    <row r="838">
      <c r="A838" s="10"/>
      <c r="B838" s="10"/>
      <c r="C838" s="10"/>
      <c r="D838" s="10"/>
      <c r="E838" s="10"/>
      <c r="F838" s="120"/>
      <c r="G838" s="120"/>
      <c r="H838" s="120"/>
      <c r="I838" s="10"/>
      <c r="J838" s="6"/>
    </row>
    <row r="839">
      <c r="A839" s="10"/>
      <c r="B839" s="10"/>
      <c r="C839" s="10"/>
      <c r="D839" s="10"/>
      <c r="E839" s="10"/>
      <c r="F839" s="120"/>
      <c r="G839" s="120"/>
      <c r="H839" s="120"/>
      <c r="I839" s="10"/>
      <c r="J839" s="6"/>
    </row>
    <row r="840">
      <c r="A840" s="10"/>
      <c r="B840" s="10"/>
      <c r="C840" s="10"/>
      <c r="D840" s="10"/>
      <c r="E840" s="10"/>
      <c r="F840" s="120"/>
      <c r="G840" s="120"/>
      <c r="H840" s="120"/>
      <c r="I840" s="10"/>
      <c r="J840" s="6"/>
    </row>
    <row r="841">
      <c r="A841" s="10"/>
      <c r="B841" s="10"/>
      <c r="C841" s="10"/>
      <c r="D841" s="10"/>
      <c r="E841" s="10"/>
      <c r="F841" s="120"/>
      <c r="G841" s="120"/>
      <c r="H841" s="120"/>
      <c r="I841" s="10"/>
      <c r="J841" s="6"/>
    </row>
    <row r="842">
      <c r="A842" s="10"/>
      <c r="B842" s="10"/>
      <c r="C842" s="10"/>
      <c r="D842" s="10"/>
      <c r="E842" s="10"/>
      <c r="F842" s="120"/>
      <c r="G842" s="120"/>
      <c r="H842" s="120"/>
      <c r="I842" s="10"/>
      <c r="J842" s="6"/>
    </row>
    <row r="843">
      <c r="A843" s="10"/>
      <c r="B843" s="10"/>
      <c r="C843" s="10"/>
      <c r="D843" s="10"/>
      <c r="E843" s="10"/>
      <c r="F843" s="120"/>
      <c r="G843" s="120"/>
      <c r="H843" s="120"/>
      <c r="I843" s="10"/>
      <c r="J843" s="6"/>
    </row>
    <row r="844">
      <c r="A844" s="10"/>
      <c r="B844" s="10"/>
      <c r="C844" s="10"/>
      <c r="D844" s="10"/>
      <c r="E844" s="10"/>
      <c r="F844" s="120"/>
      <c r="G844" s="120"/>
      <c r="H844" s="120"/>
      <c r="I844" s="10"/>
      <c r="J844" s="6"/>
    </row>
    <row r="845">
      <c r="A845" s="10"/>
      <c r="B845" s="10"/>
      <c r="C845" s="10"/>
      <c r="D845" s="10"/>
      <c r="E845" s="10"/>
      <c r="F845" s="120"/>
      <c r="G845" s="120"/>
      <c r="H845" s="120"/>
      <c r="I845" s="10"/>
      <c r="J845" s="6"/>
    </row>
    <row r="846">
      <c r="A846" s="10"/>
      <c r="B846" s="10"/>
      <c r="C846" s="10"/>
      <c r="D846" s="10"/>
      <c r="E846" s="10"/>
      <c r="F846" s="120"/>
      <c r="G846" s="120"/>
      <c r="H846" s="120"/>
      <c r="I846" s="10"/>
      <c r="J846" s="6"/>
    </row>
    <row r="847">
      <c r="A847" s="10"/>
      <c r="B847" s="10"/>
      <c r="C847" s="10"/>
      <c r="D847" s="10"/>
      <c r="E847" s="10"/>
      <c r="F847" s="120"/>
      <c r="G847" s="120"/>
      <c r="H847" s="120"/>
      <c r="I847" s="10"/>
      <c r="J847" s="6"/>
    </row>
    <row r="848">
      <c r="A848" s="10"/>
      <c r="B848" s="10"/>
      <c r="C848" s="10"/>
      <c r="D848" s="10"/>
      <c r="E848" s="10"/>
      <c r="F848" s="120"/>
      <c r="G848" s="120"/>
      <c r="H848" s="120"/>
      <c r="I848" s="10"/>
      <c r="J848" s="6"/>
    </row>
    <row r="849">
      <c r="A849" s="10"/>
      <c r="B849" s="10"/>
      <c r="C849" s="10"/>
      <c r="D849" s="10"/>
      <c r="E849" s="10"/>
      <c r="F849" s="120"/>
      <c r="G849" s="120"/>
      <c r="H849" s="120"/>
      <c r="I849" s="10"/>
      <c r="J849" s="6"/>
    </row>
    <row r="850">
      <c r="A850" s="10"/>
      <c r="B850" s="10"/>
      <c r="C850" s="10"/>
      <c r="D850" s="10"/>
      <c r="E850" s="10"/>
      <c r="F850" s="120"/>
      <c r="G850" s="120"/>
      <c r="H850" s="120"/>
      <c r="I850" s="10"/>
      <c r="J850" s="6"/>
    </row>
    <row r="851">
      <c r="A851" s="10"/>
      <c r="B851" s="10"/>
      <c r="C851" s="10"/>
      <c r="D851" s="10"/>
      <c r="E851" s="10"/>
      <c r="F851" s="120"/>
      <c r="G851" s="120"/>
      <c r="H851" s="120"/>
      <c r="I851" s="10"/>
      <c r="J851" s="6"/>
    </row>
    <row r="852">
      <c r="A852" s="10"/>
      <c r="B852" s="10"/>
      <c r="C852" s="10"/>
      <c r="D852" s="10"/>
      <c r="E852" s="10"/>
      <c r="F852" s="120"/>
      <c r="G852" s="120"/>
      <c r="H852" s="120"/>
      <c r="I852" s="10"/>
      <c r="J852" s="6"/>
    </row>
    <row r="853">
      <c r="A853" s="10"/>
      <c r="B853" s="10"/>
      <c r="C853" s="10"/>
      <c r="D853" s="10"/>
      <c r="E853" s="10"/>
      <c r="F853" s="120"/>
      <c r="G853" s="120"/>
      <c r="H853" s="120"/>
      <c r="I853" s="10"/>
      <c r="J853" s="6"/>
    </row>
    <row r="854">
      <c r="A854" s="10"/>
      <c r="B854" s="10"/>
      <c r="C854" s="10"/>
      <c r="D854" s="10"/>
      <c r="E854" s="10"/>
      <c r="F854" s="120"/>
      <c r="G854" s="120"/>
      <c r="H854" s="120"/>
      <c r="I854" s="10"/>
      <c r="J854" s="6"/>
    </row>
    <row r="855">
      <c r="A855" s="10"/>
      <c r="B855" s="10"/>
      <c r="C855" s="10"/>
      <c r="D855" s="10"/>
      <c r="E855" s="10"/>
      <c r="F855" s="120"/>
      <c r="G855" s="120"/>
      <c r="H855" s="120"/>
      <c r="I855" s="10"/>
      <c r="J855" s="6"/>
    </row>
    <row r="856">
      <c r="A856" s="10"/>
      <c r="B856" s="10"/>
      <c r="C856" s="10"/>
      <c r="D856" s="10"/>
      <c r="E856" s="10"/>
      <c r="F856" s="120"/>
      <c r="G856" s="120"/>
      <c r="H856" s="120"/>
      <c r="I856" s="10"/>
      <c r="J856" s="6"/>
    </row>
    <row r="857">
      <c r="A857" s="10"/>
      <c r="B857" s="10"/>
      <c r="C857" s="10"/>
      <c r="D857" s="10"/>
      <c r="E857" s="10"/>
      <c r="F857" s="120"/>
      <c r="G857" s="120"/>
      <c r="H857" s="120"/>
      <c r="I857" s="10"/>
      <c r="J857" s="6"/>
    </row>
    <row r="858">
      <c r="A858" s="10"/>
      <c r="B858" s="10"/>
      <c r="C858" s="10"/>
      <c r="D858" s="10"/>
      <c r="E858" s="10"/>
      <c r="F858" s="120"/>
      <c r="G858" s="120"/>
      <c r="H858" s="120"/>
      <c r="I858" s="10"/>
      <c r="J858" s="6"/>
    </row>
    <row r="859">
      <c r="A859" s="10"/>
      <c r="B859" s="10"/>
      <c r="C859" s="10"/>
      <c r="D859" s="10"/>
      <c r="E859" s="10"/>
      <c r="F859" s="120"/>
      <c r="G859" s="120"/>
      <c r="H859" s="120"/>
      <c r="I859" s="10"/>
      <c r="J859" s="6"/>
    </row>
    <row r="860">
      <c r="A860" s="10"/>
      <c r="B860" s="10"/>
      <c r="C860" s="10"/>
      <c r="D860" s="10"/>
      <c r="E860" s="10"/>
      <c r="F860" s="120"/>
      <c r="G860" s="120"/>
      <c r="H860" s="120"/>
      <c r="I860" s="10"/>
      <c r="J860" s="6"/>
    </row>
    <row r="861">
      <c r="A861" s="10"/>
      <c r="B861" s="10"/>
      <c r="C861" s="10"/>
      <c r="D861" s="10"/>
      <c r="E861" s="10"/>
      <c r="F861" s="120"/>
      <c r="G861" s="120"/>
      <c r="H861" s="120"/>
      <c r="I861" s="10"/>
      <c r="J861" s="6"/>
    </row>
    <row r="862">
      <c r="A862" s="10"/>
      <c r="B862" s="10"/>
      <c r="C862" s="10"/>
      <c r="D862" s="10"/>
      <c r="E862" s="10"/>
      <c r="F862" s="120"/>
      <c r="G862" s="120"/>
      <c r="H862" s="120"/>
      <c r="I862" s="10"/>
      <c r="J862" s="6"/>
    </row>
    <row r="863">
      <c r="A863" s="10"/>
      <c r="B863" s="10"/>
      <c r="C863" s="10"/>
      <c r="D863" s="10"/>
      <c r="E863" s="10"/>
      <c r="F863" s="120"/>
      <c r="G863" s="120"/>
      <c r="H863" s="120"/>
      <c r="I863" s="10"/>
      <c r="J863" s="6"/>
    </row>
    <row r="864">
      <c r="A864" s="10"/>
      <c r="B864" s="10"/>
      <c r="C864" s="10"/>
      <c r="D864" s="10"/>
      <c r="E864" s="10"/>
      <c r="F864" s="120"/>
      <c r="G864" s="120"/>
      <c r="H864" s="120"/>
      <c r="I864" s="10"/>
      <c r="J864" s="6"/>
    </row>
    <row r="865">
      <c r="A865" s="10"/>
      <c r="B865" s="10"/>
      <c r="C865" s="10"/>
      <c r="D865" s="10"/>
      <c r="E865" s="10"/>
      <c r="F865" s="120"/>
      <c r="G865" s="120"/>
      <c r="H865" s="120"/>
      <c r="I865" s="10"/>
      <c r="J865" s="6"/>
    </row>
    <row r="866">
      <c r="A866" s="10"/>
      <c r="B866" s="10"/>
      <c r="C866" s="10"/>
      <c r="D866" s="10"/>
      <c r="E866" s="10"/>
      <c r="F866" s="120"/>
      <c r="G866" s="120"/>
      <c r="H866" s="120"/>
      <c r="I866" s="10"/>
      <c r="J866" s="6"/>
    </row>
    <row r="867">
      <c r="A867" s="10"/>
      <c r="B867" s="10"/>
      <c r="C867" s="10"/>
      <c r="D867" s="10"/>
      <c r="E867" s="10"/>
      <c r="F867" s="120"/>
      <c r="G867" s="120"/>
      <c r="H867" s="120"/>
      <c r="I867" s="10"/>
      <c r="J867" s="6"/>
    </row>
    <row r="868">
      <c r="A868" s="10"/>
      <c r="B868" s="10"/>
      <c r="C868" s="10"/>
      <c r="D868" s="10"/>
      <c r="E868" s="10"/>
      <c r="F868" s="120"/>
      <c r="G868" s="120"/>
      <c r="H868" s="120"/>
      <c r="I868" s="10"/>
      <c r="J868" s="6"/>
    </row>
    <row r="869">
      <c r="A869" s="10"/>
      <c r="B869" s="10"/>
      <c r="C869" s="10"/>
      <c r="D869" s="10"/>
      <c r="E869" s="10"/>
      <c r="F869" s="120"/>
      <c r="G869" s="120"/>
      <c r="H869" s="120"/>
      <c r="I869" s="10"/>
      <c r="J869" s="6"/>
    </row>
    <row r="870">
      <c r="A870" s="10"/>
      <c r="B870" s="10"/>
      <c r="C870" s="10"/>
      <c r="D870" s="10"/>
      <c r="E870" s="10"/>
      <c r="F870" s="120"/>
      <c r="G870" s="120"/>
      <c r="H870" s="120"/>
      <c r="I870" s="10"/>
      <c r="J870" s="6"/>
    </row>
    <row r="871">
      <c r="A871" s="10"/>
      <c r="B871" s="10"/>
      <c r="C871" s="10"/>
      <c r="D871" s="10"/>
      <c r="E871" s="10"/>
      <c r="F871" s="120"/>
      <c r="G871" s="120"/>
      <c r="H871" s="120"/>
      <c r="I871" s="10"/>
      <c r="J871" s="6"/>
    </row>
    <row r="872">
      <c r="A872" s="10"/>
      <c r="B872" s="10"/>
      <c r="C872" s="10"/>
      <c r="D872" s="10"/>
      <c r="E872" s="10"/>
      <c r="F872" s="120"/>
      <c r="G872" s="120"/>
      <c r="H872" s="120"/>
      <c r="I872" s="10"/>
      <c r="J872" s="6"/>
    </row>
    <row r="873">
      <c r="A873" s="10"/>
      <c r="B873" s="10"/>
      <c r="C873" s="10"/>
      <c r="D873" s="10"/>
      <c r="E873" s="10"/>
      <c r="F873" s="120"/>
      <c r="G873" s="120"/>
      <c r="H873" s="120"/>
      <c r="I873" s="10"/>
      <c r="J873" s="6"/>
    </row>
    <row r="874">
      <c r="A874" s="10"/>
      <c r="B874" s="10"/>
      <c r="C874" s="10"/>
      <c r="D874" s="10"/>
      <c r="E874" s="10"/>
      <c r="F874" s="120"/>
      <c r="G874" s="120"/>
      <c r="H874" s="120"/>
      <c r="I874" s="10"/>
      <c r="J874" s="6"/>
    </row>
    <row r="875">
      <c r="A875" s="10"/>
      <c r="B875" s="10"/>
      <c r="C875" s="10"/>
      <c r="D875" s="10"/>
      <c r="E875" s="10"/>
      <c r="F875" s="120"/>
      <c r="G875" s="120"/>
      <c r="H875" s="120"/>
      <c r="I875" s="10"/>
      <c r="J875" s="6"/>
    </row>
    <row r="876">
      <c r="A876" s="10"/>
      <c r="B876" s="10"/>
      <c r="C876" s="10"/>
      <c r="D876" s="10"/>
      <c r="E876" s="10"/>
      <c r="F876" s="120"/>
      <c r="G876" s="120"/>
      <c r="H876" s="120"/>
      <c r="I876" s="10"/>
      <c r="J876" s="6"/>
    </row>
    <row r="877">
      <c r="A877" s="10"/>
      <c r="B877" s="10"/>
      <c r="C877" s="10"/>
      <c r="D877" s="10"/>
      <c r="E877" s="10"/>
      <c r="F877" s="120"/>
      <c r="G877" s="120"/>
      <c r="H877" s="120"/>
      <c r="I877" s="10"/>
      <c r="J877" s="6"/>
    </row>
    <row r="878">
      <c r="A878" s="10"/>
      <c r="B878" s="10"/>
      <c r="C878" s="10"/>
      <c r="D878" s="10"/>
      <c r="E878" s="10"/>
      <c r="F878" s="120"/>
      <c r="G878" s="120"/>
      <c r="H878" s="120"/>
      <c r="I878" s="10"/>
      <c r="J878" s="6"/>
    </row>
    <row r="879">
      <c r="A879" s="10"/>
      <c r="B879" s="10"/>
      <c r="C879" s="10"/>
      <c r="D879" s="10"/>
      <c r="E879" s="10"/>
      <c r="F879" s="120"/>
      <c r="G879" s="120"/>
      <c r="H879" s="120"/>
      <c r="I879" s="10"/>
      <c r="J879" s="6"/>
    </row>
    <row r="880">
      <c r="A880" s="10"/>
      <c r="B880" s="10"/>
      <c r="C880" s="10"/>
      <c r="D880" s="10"/>
      <c r="E880" s="10"/>
      <c r="F880" s="120"/>
      <c r="G880" s="120"/>
      <c r="H880" s="120"/>
      <c r="I880" s="10"/>
      <c r="J880" s="6"/>
    </row>
    <row r="881">
      <c r="A881" s="10"/>
      <c r="B881" s="10"/>
      <c r="C881" s="10"/>
      <c r="D881" s="10"/>
      <c r="E881" s="10"/>
      <c r="F881" s="120"/>
      <c r="G881" s="120"/>
      <c r="H881" s="120"/>
      <c r="I881" s="10"/>
      <c r="J881" s="6"/>
    </row>
    <row r="882">
      <c r="A882" s="10"/>
      <c r="B882" s="10"/>
      <c r="C882" s="10"/>
      <c r="D882" s="10"/>
      <c r="E882" s="10"/>
      <c r="F882" s="120"/>
      <c r="G882" s="120"/>
      <c r="H882" s="120"/>
      <c r="I882" s="10"/>
      <c r="J882" s="6"/>
    </row>
    <row r="883">
      <c r="A883" s="10"/>
      <c r="B883" s="10"/>
      <c r="C883" s="10"/>
      <c r="D883" s="10"/>
      <c r="E883" s="10"/>
      <c r="F883" s="120"/>
      <c r="G883" s="120"/>
      <c r="H883" s="120"/>
      <c r="I883" s="10"/>
      <c r="J883" s="6"/>
    </row>
    <row r="884">
      <c r="A884" s="10"/>
      <c r="B884" s="10"/>
      <c r="C884" s="10"/>
      <c r="D884" s="10"/>
      <c r="E884" s="10"/>
      <c r="F884" s="120"/>
      <c r="G884" s="120"/>
      <c r="H884" s="120"/>
      <c r="I884" s="10"/>
      <c r="J884" s="6"/>
    </row>
    <row r="885">
      <c r="A885" s="10"/>
      <c r="B885" s="10"/>
      <c r="C885" s="10"/>
      <c r="D885" s="10"/>
      <c r="E885" s="10"/>
      <c r="F885" s="120"/>
      <c r="G885" s="120"/>
      <c r="H885" s="120"/>
      <c r="I885" s="10"/>
      <c r="J885" s="6"/>
    </row>
    <row r="886">
      <c r="A886" s="10"/>
      <c r="B886" s="10"/>
      <c r="C886" s="10"/>
      <c r="D886" s="10"/>
      <c r="E886" s="10"/>
      <c r="F886" s="120"/>
      <c r="G886" s="120"/>
      <c r="H886" s="120"/>
      <c r="I886" s="10"/>
      <c r="J886" s="6"/>
    </row>
    <row r="887">
      <c r="A887" s="10"/>
      <c r="B887" s="10"/>
      <c r="C887" s="10"/>
      <c r="D887" s="10"/>
      <c r="E887" s="10"/>
      <c r="F887" s="120"/>
      <c r="G887" s="120"/>
      <c r="H887" s="120"/>
      <c r="I887" s="10"/>
      <c r="J887" s="6"/>
    </row>
    <row r="888">
      <c r="A888" s="10"/>
      <c r="B888" s="10"/>
      <c r="C888" s="10"/>
      <c r="D888" s="10"/>
      <c r="E888" s="10"/>
      <c r="F888" s="120"/>
      <c r="G888" s="120"/>
      <c r="H888" s="120"/>
      <c r="I888" s="10"/>
      <c r="J888" s="6"/>
    </row>
    <row r="889">
      <c r="A889" s="10"/>
      <c r="B889" s="10"/>
      <c r="C889" s="10"/>
      <c r="D889" s="10"/>
      <c r="E889" s="10"/>
      <c r="F889" s="120"/>
      <c r="G889" s="120"/>
      <c r="H889" s="120"/>
      <c r="I889" s="10"/>
      <c r="J889" s="6"/>
    </row>
    <row r="890">
      <c r="A890" s="10"/>
      <c r="B890" s="10"/>
      <c r="C890" s="10"/>
      <c r="D890" s="10"/>
      <c r="E890" s="10"/>
      <c r="F890" s="120"/>
      <c r="G890" s="120"/>
      <c r="H890" s="120"/>
      <c r="I890" s="10"/>
      <c r="J890" s="6"/>
    </row>
    <row r="891">
      <c r="A891" s="10"/>
      <c r="B891" s="10"/>
      <c r="C891" s="10"/>
      <c r="D891" s="10"/>
      <c r="E891" s="10"/>
      <c r="F891" s="120"/>
      <c r="G891" s="120"/>
      <c r="H891" s="120"/>
      <c r="I891" s="10"/>
      <c r="J891" s="6"/>
    </row>
    <row r="892">
      <c r="A892" s="10"/>
      <c r="B892" s="10"/>
      <c r="C892" s="10"/>
      <c r="D892" s="10"/>
      <c r="E892" s="10"/>
      <c r="F892" s="120"/>
      <c r="G892" s="120"/>
      <c r="H892" s="120"/>
      <c r="I892" s="10"/>
      <c r="J892" s="6"/>
    </row>
    <row r="893">
      <c r="A893" s="10"/>
      <c r="B893" s="10"/>
      <c r="C893" s="10"/>
      <c r="D893" s="10"/>
      <c r="E893" s="10"/>
      <c r="F893" s="120"/>
      <c r="G893" s="120"/>
      <c r="H893" s="120"/>
      <c r="I893" s="10"/>
      <c r="J893" s="6"/>
    </row>
    <row r="894">
      <c r="A894" s="10"/>
      <c r="B894" s="10"/>
      <c r="C894" s="10"/>
      <c r="D894" s="10"/>
      <c r="E894" s="10"/>
      <c r="F894" s="120"/>
      <c r="G894" s="120"/>
      <c r="H894" s="120"/>
      <c r="I894" s="10"/>
      <c r="J894" s="6"/>
    </row>
    <row r="895">
      <c r="A895" s="10"/>
      <c r="B895" s="10"/>
      <c r="C895" s="10"/>
      <c r="D895" s="10"/>
      <c r="E895" s="10"/>
      <c r="F895" s="120"/>
      <c r="G895" s="120"/>
      <c r="H895" s="120"/>
      <c r="I895" s="10"/>
      <c r="J895" s="6"/>
    </row>
    <row r="896">
      <c r="A896" s="10"/>
      <c r="B896" s="10"/>
      <c r="C896" s="10"/>
      <c r="D896" s="10"/>
      <c r="E896" s="10"/>
      <c r="F896" s="120"/>
      <c r="G896" s="120"/>
      <c r="H896" s="120"/>
      <c r="I896" s="10"/>
      <c r="J896" s="6"/>
    </row>
    <row r="897">
      <c r="A897" s="10"/>
      <c r="B897" s="10"/>
      <c r="C897" s="10"/>
      <c r="D897" s="10"/>
      <c r="E897" s="10"/>
      <c r="F897" s="120"/>
      <c r="G897" s="120"/>
      <c r="H897" s="120"/>
      <c r="I897" s="10"/>
      <c r="J897" s="6"/>
    </row>
    <row r="898">
      <c r="A898" s="10"/>
      <c r="B898" s="10"/>
      <c r="C898" s="10"/>
      <c r="D898" s="10"/>
      <c r="E898" s="10"/>
      <c r="F898" s="120"/>
      <c r="G898" s="120"/>
      <c r="H898" s="120"/>
      <c r="I898" s="10"/>
      <c r="J898" s="6"/>
    </row>
    <row r="899">
      <c r="A899" s="10"/>
      <c r="B899" s="10"/>
      <c r="C899" s="10"/>
      <c r="D899" s="10"/>
      <c r="E899" s="10"/>
      <c r="F899" s="120"/>
      <c r="G899" s="120"/>
      <c r="H899" s="120"/>
      <c r="I899" s="10"/>
      <c r="J899" s="6"/>
    </row>
    <row r="900">
      <c r="A900" s="10"/>
      <c r="B900" s="10"/>
      <c r="C900" s="10"/>
      <c r="D900" s="10"/>
      <c r="E900" s="10"/>
      <c r="F900" s="120"/>
      <c r="G900" s="120"/>
      <c r="H900" s="120"/>
      <c r="I900" s="10"/>
      <c r="J900" s="6"/>
    </row>
    <row r="901">
      <c r="A901" s="10"/>
      <c r="B901" s="10"/>
      <c r="C901" s="10"/>
      <c r="D901" s="10"/>
      <c r="E901" s="10"/>
      <c r="F901" s="120"/>
      <c r="G901" s="120"/>
      <c r="H901" s="120"/>
      <c r="I901" s="10"/>
      <c r="J901" s="6"/>
    </row>
    <row r="902">
      <c r="A902" s="10"/>
      <c r="B902" s="10"/>
      <c r="C902" s="10"/>
      <c r="D902" s="10"/>
      <c r="E902" s="10"/>
      <c r="F902" s="120"/>
      <c r="G902" s="120"/>
      <c r="H902" s="120"/>
      <c r="I902" s="10"/>
      <c r="J902" s="6"/>
    </row>
    <row r="903">
      <c r="A903" s="10"/>
      <c r="B903" s="10"/>
      <c r="C903" s="10"/>
      <c r="D903" s="10"/>
      <c r="E903" s="10"/>
      <c r="F903" s="120"/>
      <c r="G903" s="120"/>
      <c r="H903" s="120"/>
      <c r="I903" s="10"/>
      <c r="J903" s="6"/>
    </row>
    <row r="904">
      <c r="A904" s="10"/>
      <c r="B904" s="10"/>
      <c r="C904" s="10"/>
      <c r="D904" s="10"/>
      <c r="E904" s="10"/>
      <c r="F904" s="120"/>
      <c r="G904" s="120"/>
      <c r="H904" s="120"/>
      <c r="I904" s="10"/>
      <c r="J904" s="6"/>
    </row>
    <row r="905">
      <c r="A905" s="10"/>
      <c r="B905" s="10"/>
      <c r="C905" s="10"/>
      <c r="D905" s="10"/>
      <c r="E905" s="10"/>
      <c r="F905" s="120"/>
      <c r="G905" s="120"/>
      <c r="H905" s="120"/>
      <c r="I905" s="10"/>
      <c r="J905" s="6"/>
    </row>
    <row r="906">
      <c r="A906" s="10"/>
      <c r="B906" s="10"/>
      <c r="C906" s="10"/>
      <c r="D906" s="10"/>
      <c r="E906" s="10"/>
      <c r="F906" s="120"/>
      <c r="G906" s="120"/>
      <c r="H906" s="120"/>
      <c r="I906" s="10"/>
      <c r="J906" s="6"/>
    </row>
    <row r="907">
      <c r="A907" s="10"/>
      <c r="B907" s="10"/>
      <c r="C907" s="10"/>
      <c r="D907" s="10"/>
      <c r="E907" s="10"/>
      <c r="F907" s="120"/>
      <c r="G907" s="120"/>
      <c r="H907" s="120"/>
      <c r="I907" s="10"/>
      <c r="J907" s="6"/>
    </row>
    <row r="908">
      <c r="A908" s="10"/>
      <c r="B908" s="10"/>
      <c r="C908" s="10"/>
      <c r="D908" s="10"/>
      <c r="E908" s="10"/>
      <c r="F908" s="120"/>
      <c r="G908" s="120"/>
      <c r="H908" s="120"/>
      <c r="I908" s="10"/>
      <c r="J908" s="6"/>
    </row>
    <row r="909">
      <c r="A909" s="10"/>
      <c r="B909" s="10"/>
      <c r="C909" s="10"/>
      <c r="D909" s="10"/>
      <c r="E909" s="10"/>
      <c r="F909" s="120"/>
      <c r="G909" s="120"/>
      <c r="H909" s="120"/>
      <c r="I909" s="10"/>
      <c r="J909" s="6"/>
    </row>
    <row r="910">
      <c r="A910" s="10"/>
      <c r="B910" s="10"/>
      <c r="C910" s="10"/>
      <c r="D910" s="10"/>
      <c r="E910" s="10"/>
      <c r="F910" s="120"/>
      <c r="G910" s="120"/>
      <c r="H910" s="120"/>
      <c r="I910" s="10"/>
      <c r="J910" s="6"/>
    </row>
    <row r="911">
      <c r="A911" s="10"/>
      <c r="B911" s="10"/>
      <c r="C911" s="10"/>
      <c r="D911" s="10"/>
      <c r="E911" s="10"/>
      <c r="F911" s="120"/>
      <c r="G911" s="120"/>
      <c r="H911" s="120"/>
      <c r="I911" s="10"/>
      <c r="J911" s="6"/>
    </row>
    <row r="912">
      <c r="A912" s="10"/>
      <c r="B912" s="10"/>
      <c r="C912" s="10"/>
      <c r="D912" s="10"/>
      <c r="E912" s="10"/>
      <c r="F912" s="120"/>
      <c r="G912" s="120"/>
      <c r="H912" s="120"/>
      <c r="I912" s="10"/>
      <c r="J912" s="6"/>
    </row>
    <row r="913">
      <c r="A913" s="10"/>
      <c r="B913" s="10"/>
      <c r="C913" s="10"/>
      <c r="D913" s="10"/>
      <c r="E913" s="10"/>
      <c r="F913" s="120"/>
      <c r="G913" s="120"/>
      <c r="H913" s="120"/>
      <c r="I913" s="10"/>
      <c r="J913" s="6"/>
    </row>
    <row r="914">
      <c r="A914" s="10"/>
      <c r="B914" s="10"/>
      <c r="C914" s="10"/>
      <c r="D914" s="10"/>
      <c r="E914" s="10"/>
      <c r="F914" s="120"/>
      <c r="G914" s="120"/>
      <c r="H914" s="120"/>
      <c r="I914" s="10"/>
      <c r="J914" s="6"/>
    </row>
    <row r="915">
      <c r="A915" s="10"/>
      <c r="B915" s="10"/>
      <c r="C915" s="10"/>
      <c r="D915" s="10"/>
      <c r="E915" s="10"/>
      <c r="F915" s="120"/>
      <c r="G915" s="120"/>
      <c r="H915" s="120"/>
      <c r="I915" s="10"/>
      <c r="J915" s="6"/>
    </row>
    <row r="916">
      <c r="A916" s="10"/>
      <c r="B916" s="10"/>
      <c r="C916" s="10"/>
      <c r="D916" s="10"/>
      <c r="E916" s="10"/>
      <c r="F916" s="120"/>
      <c r="G916" s="120"/>
      <c r="H916" s="120"/>
      <c r="I916" s="10"/>
      <c r="J916" s="6"/>
    </row>
    <row r="917">
      <c r="A917" s="10"/>
      <c r="B917" s="10"/>
      <c r="C917" s="10"/>
      <c r="D917" s="10"/>
      <c r="E917" s="10"/>
      <c r="F917" s="120"/>
      <c r="G917" s="120"/>
      <c r="H917" s="120"/>
      <c r="I917" s="10"/>
      <c r="J917" s="6"/>
    </row>
    <row r="918">
      <c r="A918" s="10"/>
      <c r="B918" s="10"/>
      <c r="C918" s="10"/>
      <c r="D918" s="10"/>
      <c r="E918" s="10"/>
      <c r="F918" s="120"/>
      <c r="G918" s="120"/>
      <c r="H918" s="120"/>
      <c r="I918" s="10"/>
      <c r="J918" s="6"/>
    </row>
    <row r="919">
      <c r="A919" s="10"/>
      <c r="B919" s="10"/>
      <c r="C919" s="10"/>
      <c r="D919" s="10"/>
      <c r="E919" s="10"/>
      <c r="F919" s="120"/>
      <c r="G919" s="120"/>
      <c r="H919" s="120"/>
      <c r="I919" s="10"/>
      <c r="J919" s="6"/>
    </row>
    <row r="920">
      <c r="A920" s="10"/>
      <c r="B920" s="10"/>
      <c r="C920" s="10"/>
      <c r="D920" s="10"/>
      <c r="E920" s="10"/>
      <c r="F920" s="120"/>
      <c r="G920" s="120"/>
      <c r="H920" s="120"/>
      <c r="I920" s="10"/>
      <c r="J920" s="6"/>
    </row>
    <row r="921">
      <c r="A921" s="10"/>
      <c r="B921" s="10"/>
      <c r="C921" s="10"/>
      <c r="D921" s="10"/>
      <c r="E921" s="10"/>
      <c r="F921" s="120"/>
      <c r="G921" s="120"/>
      <c r="H921" s="120"/>
      <c r="I921" s="10"/>
      <c r="J921" s="6"/>
    </row>
    <row r="922">
      <c r="A922" s="10"/>
      <c r="B922" s="10"/>
      <c r="C922" s="10"/>
      <c r="D922" s="10"/>
      <c r="E922" s="10"/>
      <c r="F922" s="120"/>
      <c r="G922" s="120"/>
      <c r="H922" s="120"/>
      <c r="I922" s="10"/>
      <c r="J922" s="6"/>
    </row>
    <row r="923">
      <c r="A923" s="10"/>
      <c r="B923" s="10"/>
      <c r="C923" s="10"/>
      <c r="D923" s="10"/>
      <c r="E923" s="10"/>
      <c r="F923" s="120"/>
      <c r="G923" s="120"/>
      <c r="H923" s="120"/>
      <c r="I923" s="10"/>
      <c r="J923" s="6"/>
    </row>
    <row r="924">
      <c r="A924" s="10"/>
      <c r="B924" s="10"/>
      <c r="C924" s="10"/>
      <c r="D924" s="10"/>
      <c r="E924" s="10"/>
      <c r="F924" s="120"/>
      <c r="G924" s="120"/>
      <c r="H924" s="120"/>
      <c r="I924" s="10"/>
      <c r="J924" s="6"/>
    </row>
    <row r="925">
      <c r="A925" s="10"/>
      <c r="B925" s="10"/>
      <c r="C925" s="10"/>
      <c r="D925" s="10"/>
      <c r="E925" s="10"/>
      <c r="F925" s="120"/>
      <c r="G925" s="120"/>
      <c r="H925" s="120"/>
      <c r="I925" s="10"/>
      <c r="J925" s="6"/>
    </row>
    <row r="926">
      <c r="A926" s="10"/>
      <c r="B926" s="10"/>
      <c r="C926" s="10"/>
      <c r="D926" s="10"/>
      <c r="E926" s="10"/>
      <c r="F926" s="120"/>
      <c r="G926" s="120"/>
      <c r="H926" s="120"/>
      <c r="I926" s="10"/>
      <c r="J926" s="6"/>
    </row>
    <row r="927">
      <c r="A927" s="10"/>
      <c r="B927" s="10"/>
      <c r="C927" s="10"/>
      <c r="D927" s="10"/>
      <c r="E927" s="10"/>
      <c r="F927" s="120"/>
      <c r="G927" s="120"/>
      <c r="H927" s="120"/>
      <c r="I927" s="10"/>
      <c r="J927" s="6"/>
    </row>
    <row r="928">
      <c r="A928" s="10"/>
      <c r="B928" s="10"/>
      <c r="C928" s="10"/>
      <c r="D928" s="10"/>
      <c r="E928" s="10"/>
      <c r="F928" s="120"/>
      <c r="G928" s="120"/>
      <c r="H928" s="120"/>
      <c r="I928" s="10"/>
      <c r="J928" s="6"/>
    </row>
    <row r="929">
      <c r="A929" s="10"/>
      <c r="B929" s="10"/>
      <c r="C929" s="10"/>
      <c r="D929" s="10"/>
      <c r="E929" s="10"/>
      <c r="F929" s="120"/>
      <c r="G929" s="120"/>
      <c r="H929" s="120"/>
      <c r="I929" s="10"/>
      <c r="J929" s="6"/>
    </row>
    <row r="930">
      <c r="A930" s="10"/>
      <c r="B930" s="10"/>
      <c r="C930" s="10"/>
      <c r="D930" s="10"/>
      <c r="E930" s="10"/>
      <c r="F930" s="120"/>
      <c r="G930" s="120"/>
      <c r="H930" s="120"/>
      <c r="I930" s="10"/>
      <c r="J930" s="6"/>
    </row>
    <row r="931">
      <c r="A931" s="10"/>
      <c r="B931" s="10"/>
      <c r="C931" s="10"/>
      <c r="D931" s="10"/>
      <c r="E931" s="10"/>
      <c r="F931" s="120"/>
      <c r="G931" s="120"/>
      <c r="H931" s="120"/>
      <c r="I931" s="10"/>
      <c r="J931" s="6"/>
    </row>
    <row r="932">
      <c r="A932" s="10"/>
      <c r="B932" s="10"/>
      <c r="C932" s="10"/>
      <c r="D932" s="10"/>
      <c r="E932" s="10"/>
      <c r="F932" s="120"/>
      <c r="G932" s="120"/>
      <c r="H932" s="120"/>
      <c r="I932" s="10"/>
      <c r="J932" s="6"/>
    </row>
    <row r="933">
      <c r="A933" s="10"/>
      <c r="B933" s="10"/>
      <c r="C933" s="10"/>
      <c r="D933" s="10"/>
      <c r="E933" s="10"/>
      <c r="F933" s="120"/>
      <c r="G933" s="120"/>
      <c r="H933" s="120"/>
      <c r="I933" s="10"/>
      <c r="J933" s="6"/>
    </row>
    <row r="934">
      <c r="A934" s="10"/>
      <c r="B934" s="10"/>
      <c r="C934" s="10"/>
      <c r="D934" s="10"/>
      <c r="E934" s="10"/>
      <c r="F934" s="120"/>
      <c r="G934" s="120"/>
      <c r="H934" s="120"/>
      <c r="I934" s="10"/>
      <c r="J934" s="6"/>
    </row>
    <row r="935">
      <c r="A935" s="10"/>
      <c r="B935" s="10"/>
      <c r="C935" s="10"/>
      <c r="D935" s="10"/>
      <c r="E935" s="10"/>
      <c r="F935" s="120"/>
      <c r="G935" s="120"/>
      <c r="H935" s="120"/>
      <c r="I935" s="10"/>
      <c r="J935" s="6"/>
    </row>
    <row r="936">
      <c r="A936" s="10"/>
      <c r="B936" s="10"/>
      <c r="C936" s="10"/>
      <c r="D936" s="10"/>
      <c r="E936" s="10"/>
      <c r="F936" s="120"/>
      <c r="G936" s="120"/>
      <c r="H936" s="120"/>
      <c r="I936" s="10"/>
      <c r="J936" s="6"/>
    </row>
    <row r="937">
      <c r="A937" s="10"/>
      <c r="B937" s="10"/>
      <c r="C937" s="10"/>
      <c r="D937" s="10"/>
      <c r="E937" s="10"/>
      <c r="F937" s="120"/>
      <c r="G937" s="120"/>
      <c r="H937" s="120"/>
      <c r="I937" s="10"/>
      <c r="J937" s="6"/>
    </row>
    <row r="938">
      <c r="A938" s="10"/>
      <c r="B938" s="10"/>
      <c r="C938" s="10"/>
      <c r="D938" s="10"/>
      <c r="E938" s="10"/>
      <c r="F938" s="120"/>
      <c r="G938" s="120"/>
      <c r="H938" s="120"/>
      <c r="I938" s="10"/>
      <c r="J938" s="6"/>
    </row>
    <row r="939">
      <c r="A939" s="10"/>
      <c r="B939" s="10"/>
      <c r="C939" s="10"/>
      <c r="D939" s="10"/>
      <c r="E939" s="10"/>
      <c r="F939" s="120"/>
      <c r="G939" s="120"/>
      <c r="H939" s="120"/>
      <c r="I939" s="10"/>
      <c r="J939" s="6"/>
    </row>
    <row r="940">
      <c r="A940" s="10"/>
      <c r="B940" s="10"/>
      <c r="C940" s="10"/>
      <c r="D940" s="10"/>
      <c r="E940" s="10"/>
      <c r="F940" s="120"/>
      <c r="G940" s="120"/>
      <c r="H940" s="120"/>
      <c r="I940" s="10"/>
      <c r="J940" s="6"/>
    </row>
    <row r="941">
      <c r="A941" s="10"/>
      <c r="B941" s="10"/>
      <c r="C941" s="10"/>
      <c r="D941" s="10"/>
      <c r="E941" s="10"/>
      <c r="F941" s="120"/>
      <c r="G941" s="120"/>
      <c r="H941" s="120"/>
      <c r="I941" s="10"/>
      <c r="J941" s="6"/>
    </row>
    <row r="942">
      <c r="A942" s="10"/>
      <c r="B942" s="10"/>
      <c r="C942" s="10"/>
      <c r="D942" s="10"/>
      <c r="E942" s="10"/>
      <c r="F942" s="120"/>
      <c r="G942" s="120"/>
      <c r="H942" s="120"/>
      <c r="I942" s="10"/>
      <c r="J942" s="6"/>
    </row>
    <row r="943">
      <c r="A943" s="10"/>
      <c r="B943" s="10"/>
      <c r="C943" s="10"/>
      <c r="D943" s="10"/>
      <c r="E943" s="10"/>
      <c r="F943" s="120"/>
      <c r="G943" s="120"/>
      <c r="H943" s="120"/>
      <c r="I943" s="10"/>
      <c r="J943" s="6"/>
    </row>
    <row r="944">
      <c r="A944" s="10"/>
      <c r="B944" s="10"/>
      <c r="C944" s="10"/>
      <c r="D944" s="10"/>
      <c r="E944" s="10"/>
      <c r="F944" s="120"/>
      <c r="G944" s="120"/>
      <c r="H944" s="120"/>
      <c r="I944" s="10"/>
      <c r="J944" s="6"/>
    </row>
    <row r="945">
      <c r="A945" s="10"/>
      <c r="B945" s="10"/>
      <c r="C945" s="10"/>
      <c r="D945" s="10"/>
      <c r="E945" s="10"/>
      <c r="F945" s="120"/>
      <c r="G945" s="120"/>
      <c r="H945" s="120"/>
      <c r="I945" s="10"/>
      <c r="J945" s="6"/>
    </row>
    <row r="946">
      <c r="A946" s="10"/>
      <c r="B946" s="10"/>
      <c r="C946" s="10"/>
      <c r="D946" s="10"/>
      <c r="E946" s="10"/>
      <c r="F946" s="120"/>
      <c r="G946" s="120"/>
      <c r="H946" s="120"/>
      <c r="I946" s="10"/>
      <c r="J946" s="6"/>
    </row>
    <row r="947">
      <c r="A947" s="10"/>
      <c r="B947" s="10"/>
      <c r="C947" s="10"/>
      <c r="D947" s="10"/>
      <c r="E947" s="10"/>
      <c r="F947" s="120"/>
      <c r="G947" s="120"/>
      <c r="H947" s="120"/>
      <c r="I947" s="10"/>
      <c r="J947" s="6"/>
    </row>
    <row r="948">
      <c r="A948" s="10"/>
      <c r="B948" s="10"/>
      <c r="C948" s="10"/>
      <c r="D948" s="10"/>
      <c r="E948" s="10"/>
      <c r="F948" s="120"/>
      <c r="G948" s="120"/>
      <c r="H948" s="120"/>
      <c r="I948" s="10"/>
      <c r="J948" s="6"/>
    </row>
    <row r="949">
      <c r="A949" s="10"/>
      <c r="B949" s="10"/>
      <c r="C949" s="10"/>
      <c r="D949" s="10"/>
      <c r="E949" s="10"/>
      <c r="F949" s="120"/>
      <c r="G949" s="120"/>
      <c r="H949" s="120"/>
      <c r="I949" s="10"/>
      <c r="J949" s="6"/>
    </row>
    <row r="950">
      <c r="A950" s="10"/>
      <c r="B950" s="10"/>
      <c r="C950" s="10"/>
      <c r="D950" s="10"/>
      <c r="E950" s="10"/>
      <c r="F950" s="120"/>
      <c r="G950" s="120"/>
      <c r="H950" s="120"/>
      <c r="I950" s="10"/>
      <c r="J950" s="6"/>
    </row>
    <row r="951">
      <c r="A951" s="10"/>
      <c r="B951" s="10"/>
      <c r="C951" s="10"/>
      <c r="D951" s="10"/>
      <c r="E951" s="10"/>
      <c r="F951" s="120"/>
      <c r="G951" s="120"/>
      <c r="H951" s="120"/>
      <c r="I951" s="10"/>
      <c r="J951" s="6"/>
    </row>
    <row r="952">
      <c r="A952" s="10"/>
      <c r="B952" s="10"/>
      <c r="C952" s="10"/>
      <c r="D952" s="10"/>
      <c r="E952" s="10"/>
      <c r="F952" s="120"/>
      <c r="G952" s="120"/>
      <c r="H952" s="120"/>
      <c r="I952" s="10"/>
      <c r="J952" s="6"/>
    </row>
    <row r="953">
      <c r="A953" s="10"/>
      <c r="B953" s="10"/>
      <c r="C953" s="10"/>
      <c r="D953" s="10"/>
      <c r="E953" s="10"/>
      <c r="F953" s="120"/>
      <c r="G953" s="120"/>
      <c r="H953" s="120"/>
      <c r="I953" s="10"/>
      <c r="J953" s="6"/>
    </row>
    <row r="954">
      <c r="A954" s="10"/>
      <c r="B954" s="10"/>
      <c r="C954" s="10"/>
      <c r="D954" s="10"/>
      <c r="E954" s="10"/>
      <c r="F954" s="120"/>
      <c r="G954" s="120"/>
      <c r="H954" s="120"/>
      <c r="I954" s="10"/>
      <c r="J954" s="6"/>
    </row>
    <row r="955">
      <c r="A955" s="10"/>
      <c r="B955" s="10"/>
      <c r="C955" s="10"/>
      <c r="D955" s="10"/>
      <c r="E955" s="10"/>
      <c r="F955" s="120"/>
      <c r="G955" s="120"/>
      <c r="H955" s="120"/>
      <c r="I955" s="10"/>
      <c r="J955" s="6"/>
    </row>
    <row r="956">
      <c r="A956" s="10"/>
      <c r="B956" s="10"/>
      <c r="C956" s="10"/>
      <c r="D956" s="10"/>
      <c r="E956" s="10"/>
      <c r="F956" s="120"/>
      <c r="G956" s="120"/>
      <c r="H956" s="120"/>
      <c r="I956" s="10"/>
      <c r="J956" s="6"/>
    </row>
    <row r="957">
      <c r="A957" s="10"/>
      <c r="B957" s="10"/>
      <c r="C957" s="10"/>
      <c r="D957" s="10"/>
      <c r="E957" s="10"/>
      <c r="F957" s="120"/>
      <c r="G957" s="120"/>
      <c r="H957" s="120"/>
      <c r="I957" s="10"/>
      <c r="J957" s="6"/>
    </row>
    <row r="958">
      <c r="A958" s="10"/>
      <c r="B958" s="10"/>
      <c r="C958" s="10"/>
      <c r="D958" s="10"/>
      <c r="E958" s="10"/>
      <c r="F958" s="120"/>
      <c r="G958" s="120"/>
      <c r="H958" s="120"/>
      <c r="I958" s="10"/>
      <c r="J958" s="6"/>
    </row>
    <row r="959">
      <c r="A959" s="10"/>
      <c r="B959" s="10"/>
      <c r="C959" s="10"/>
      <c r="D959" s="10"/>
      <c r="E959" s="10"/>
      <c r="F959" s="120"/>
      <c r="G959" s="120"/>
      <c r="H959" s="120"/>
      <c r="I959" s="10"/>
      <c r="J959" s="6"/>
    </row>
    <row r="960">
      <c r="A960" s="10"/>
      <c r="B960" s="10"/>
      <c r="C960" s="10"/>
      <c r="D960" s="10"/>
      <c r="E960" s="10"/>
      <c r="F960" s="120"/>
      <c r="G960" s="120"/>
      <c r="H960" s="120"/>
      <c r="I960" s="10"/>
      <c r="J960" s="6"/>
    </row>
    <row r="961">
      <c r="A961" s="10"/>
      <c r="B961" s="10"/>
      <c r="C961" s="10"/>
      <c r="D961" s="10"/>
      <c r="E961" s="10"/>
      <c r="F961" s="120"/>
      <c r="G961" s="120"/>
      <c r="H961" s="120"/>
      <c r="I961" s="10"/>
      <c r="J961" s="6"/>
    </row>
    <row r="962">
      <c r="A962" s="10"/>
      <c r="B962" s="10"/>
      <c r="C962" s="10"/>
      <c r="D962" s="10"/>
      <c r="E962" s="10"/>
      <c r="F962" s="120"/>
      <c r="G962" s="120"/>
      <c r="H962" s="120"/>
      <c r="I962" s="10"/>
      <c r="J962" s="6"/>
    </row>
    <row r="963">
      <c r="A963" s="10"/>
      <c r="B963" s="10"/>
      <c r="C963" s="10"/>
      <c r="D963" s="10"/>
      <c r="E963" s="10"/>
      <c r="F963" s="120"/>
      <c r="G963" s="120"/>
      <c r="H963" s="120"/>
      <c r="I963" s="10"/>
      <c r="J963" s="6"/>
    </row>
    <row r="964">
      <c r="A964" s="10"/>
      <c r="B964" s="10"/>
      <c r="C964" s="10"/>
      <c r="D964" s="10"/>
      <c r="E964" s="10"/>
      <c r="F964" s="120"/>
      <c r="G964" s="120"/>
      <c r="H964" s="120"/>
      <c r="I964" s="10"/>
      <c r="J964" s="6"/>
    </row>
    <row r="965">
      <c r="A965" s="10"/>
      <c r="B965" s="10"/>
      <c r="C965" s="10"/>
      <c r="D965" s="10"/>
      <c r="E965" s="10"/>
      <c r="F965" s="120"/>
      <c r="G965" s="120"/>
      <c r="H965" s="120"/>
      <c r="I965" s="10"/>
      <c r="J965" s="6"/>
    </row>
    <row r="966">
      <c r="A966" s="10"/>
      <c r="B966" s="10"/>
      <c r="C966" s="10"/>
      <c r="D966" s="10"/>
      <c r="E966" s="10"/>
      <c r="F966" s="120"/>
      <c r="G966" s="120"/>
      <c r="H966" s="120"/>
      <c r="I966" s="10"/>
      <c r="J966" s="6"/>
    </row>
    <row r="967">
      <c r="A967" s="10"/>
      <c r="B967" s="10"/>
      <c r="C967" s="10"/>
      <c r="D967" s="10"/>
      <c r="E967" s="10"/>
      <c r="F967" s="120"/>
      <c r="G967" s="120"/>
      <c r="H967" s="120"/>
      <c r="I967" s="10"/>
      <c r="J967" s="6"/>
    </row>
    <row r="968">
      <c r="A968" s="10"/>
      <c r="B968" s="10"/>
      <c r="C968" s="10"/>
      <c r="D968" s="10"/>
      <c r="E968" s="10"/>
      <c r="F968" s="120"/>
      <c r="G968" s="120"/>
      <c r="H968" s="120"/>
      <c r="I968" s="10"/>
      <c r="J968" s="6"/>
    </row>
    <row r="969">
      <c r="A969" s="10"/>
      <c r="B969" s="10"/>
      <c r="C969" s="10"/>
      <c r="D969" s="10"/>
      <c r="E969" s="10"/>
      <c r="F969" s="120"/>
      <c r="G969" s="120"/>
      <c r="H969" s="120"/>
      <c r="I969" s="10"/>
      <c r="J969" s="6"/>
    </row>
    <row r="970">
      <c r="A970" s="10"/>
      <c r="B970" s="10"/>
      <c r="C970" s="10"/>
      <c r="D970" s="10"/>
      <c r="E970" s="10"/>
      <c r="F970" s="120"/>
      <c r="G970" s="120"/>
      <c r="H970" s="120"/>
      <c r="I970" s="10"/>
      <c r="J970" s="6"/>
    </row>
    <row r="971">
      <c r="A971" s="10"/>
      <c r="B971" s="10"/>
      <c r="C971" s="10"/>
      <c r="D971" s="10"/>
      <c r="E971" s="10"/>
      <c r="F971" s="120"/>
      <c r="G971" s="120"/>
      <c r="H971" s="120"/>
      <c r="I971" s="10"/>
      <c r="J971" s="6"/>
    </row>
    <row r="972">
      <c r="A972" s="10"/>
      <c r="B972" s="10"/>
      <c r="C972" s="10"/>
      <c r="D972" s="10"/>
      <c r="E972" s="10"/>
      <c r="F972" s="120"/>
      <c r="G972" s="120"/>
      <c r="H972" s="120"/>
      <c r="I972" s="10"/>
      <c r="J972" s="6"/>
    </row>
    <row r="973">
      <c r="A973" s="10"/>
      <c r="B973" s="10"/>
      <c r="C973" s="10"/>
      <c r="D973" s="10"/>
      <c r="E973" s="10"/>
      <c r="F973" s="120"/>
      <c r="G973" s="120"/>
      <c r="H973" s="120"/>
      <c r="I973" s="10"/>
      <c r="J973" s="6"/>
    </row>
    <row r="974">
      <c r="A974" s="10"/>
      <c r="B974" s="10"/>
      <c r="C974" s="10"/>
      <c r="D974" s="10"/>
      <c r="E974" s="10"/>
      <c r="F974" s="120"/>
      <c r="G974" s="120"/>
      <c r="H974" s="120"/>
      <c r="I974" s="10"/>
      <c r="J974" s="6"/>
    </row>
    <row r="975">
      <c r="A975" s="10"/>
      <c r="B975" s="10"/>
      <c r="C975" s="10"/>
      <c r="D975" s="10"/>
      <c r="E975" s="10"/>
      <c r="F975" s="120"/>
      <c r="G975" s="120"/>
      <c r="H975" s="120"/>
      <c r="I975" s="10"/>
      <c r="J975" s="6"/>
    </row>
    <row r="976">
      <c r="A976" s="10"/>
      <c r="B976" s="10"/>
      <c r="C976" s="10"/>
      <c r="D976" s="10"/>
      <c r="E976" s="10"/>
      <c r="F976" s="120"/>
      <c r="G976" s="120"/>
      <c r="H976" s="120"/>
      <c r="I976" s="10"/>
      <c r="J976" s="6"/>
    </row>
    <row r="977">
      <c r="A977" s="10"/>
      <c r="B977" s="10"/>
      <c r="C977" s="10"/>
      <c r="D977" s="10"/>
      <c r="E977" s="10"/>
      <c r="F977" s="120"/>
      <c r="G977" s="120"/>
      <c r="H977" s="120"/>
      <c r="I977" s="10"/>
      <c r="J977" s="6"/>
    </row>
    <row r="978">
      <c r="A978" s="10"/>
      <c r="B978" s="10"/>
      <c r="C978" s="10"/>
      <c r="D978" s="10"/>
      <c r="E978" s="10"/>
      <c r="F978" s="120"/>
      <c r="G978" s="120"/>
      <c r="H978" s="120"/>
      <c r="I978" s="10"/>
      <c r="J978" s="6"/>
    </row>
    <row r="979">
      <c r="A979" s="10"/>
      <c r="B979" s="10"/>
      <c r="C979" s="10"/>
      <c r="D979" s="10"/>
      <c r="E979" s="10"/>
      <c r="F979" s="120"/>
      <c r="G979" s="120"/>
      <c r="H979" s="120"/>
      <c r="I979" s="10"/>
      <c r="J979" s="6"/>
    </row>
    <row r="980">
      <c r="A980" s="10"/>
      <c r="B980" s="10"/>
      <c r="C980" s="10"/>
      <c r="D980" s="10"/>
      <c r="E980" s="10"/>
      <c r="F980" s="120"/>
      <c r="G980" s="120"/>
      <c r="H980" s="120"/>
      <c r="I980" s="10"/>
      <c r="J980" s="6"/>
    </row>
    <row r="981">
      <c r="A981" s="10"/>
      <c r="B981" s="10"/>
      <c r="C981" s="10"/>
      <c r="D981" s="10"/>
      <c r="E981" s="10"/>
      <c r="F981" s="120"/>
      <c r="G981" s="120"/>
      <c r="H981" s="120"/>
      <c r="I981" s="10"/>
      <c r="J981" s="6"/>
    </row>
    <row r="982">
      <c r="A982" s="10"/>
      <c r="B982" s="10"/>
      <c r="C982" s="10"/>
      <c r="D982" s="10"/>
      <c r="E982" s="10"/>
      <c r="F982" s="120"/>
      <c r="G982" s="120"/>
      <c r="H982" s="120"/>
      <c r="I982" s="10"/>
      <c r="J982" s="6"/>
    </row>
    <row r="983">
      <c r="A983" s="10"/>
      <c r="B983" s="10"/>
      <c r="C983" s="10"/>
      <c r="D983" s="10"/>
      <c r="E983" s="10"/>
      <c r="F983" s="120"/>
      <c r="G983" s="120"/>
      <c r="H983" s="120"/>
      <c r="I983" s="10"/>
      <c r="J983" s="6"/>
    </row>
    <row r="984">
      <c r="A984" s="10"/>
      <c r="B984" s="10"/>
      <c r="C984" s="10"/>
      <c r="D984" s="10"/>
      <c r="E984" s="10"/>
      <c r="F984" s="120"/>
      <c r="G984" s="120"/>
      <c r="H984" s="120"/>
      <c r="I984" s="10"/>
      <c r="J984" s="6"/>
    </row>
    <row r="985">
      <c r="A985" s="10"/>
      <c r="B985" s="10"/>
      <c r="C985" s="10"/>
      <c r="D985" s="10"/>
      <c r="E985" s="10"/>
      <c r="F985" s="120"/>
      <c r="G985" s="120"/>
      <c r="H985" s="120"/>
      <c r="I985" s="10"/>
      <c r="J985" s="6"/>
    </row>
    <row r="986">
      <c r="A986" s="10"/>
      <c r="B986" s="10"/>
      <c r="C986" s="10"/>
      <c r="D986" s="10"/>
      <c r="E986" s="10"/>
      <c r="F986" s="120"/>
      <c r="G986" s="120"/>
      <c r="H986" s="120"/>
      <c r="I986" s="10"/>
      <c r="J986" s="6"/>
    </row>
    <row r="987">
      <c r="A987" s="10"/>
      <c r="B987" s="10"/>
      <c r="C987" s="10"/>
      <c r="D987" s="10"/>
      <c r="E987" s="10"/>
      <c r="F987" s="120"/>
      <c r="G987" s="120"/>
      <c r="H987" s="120"/>
      <c r="I987" s="10"/>
      <c r="J987" s="6"/>
    </row>
    <row r="988">
      <c r="A988" s="10"/>
      <c r="B988" s="10"/>
      <c r="C988" s="10"/>
      <c r="D988" s="10"/>
      <c r="E988" s="10"/>
      <c r="F988" s="120"/>
      <c r="G988" s="120"/>
      <c r="H988" s="120"/>
      <c r="I988" s="10"/>
      <c r="J988" s="6"/>
    </row>
    <row r="989">
      <c r="A989" s="10"/>
      <c r="B989" s="10"/>
      <c r="C989" s="10"/>
      <c r="D989" s="10"/>
      <c r="E989" s="10"/>
      <c r="F989" s="120"/>
      <c r="G989" s="120"/>
      <c r="H989" s="120"/>
      <c r="I989" s="10"/>
      <c r="J989" s="6"/>
    </row>
    <row r="990">
      <c r="A990" s="10"/>
      <c r="B990" s="10"/>
      <c r="C990" s="10"/>
      <c r="D990" s="10"/>
      <c r="E990" s="10"/>
      <c r="F990" s="120"/>
      <c r="G990" s="120"/>
      <c r="H990" s="120"/>
      <c r="I990" s="10"/>
      <c r="J990" s="6"/>
    </row>
    <row r="991">
      <c r="A991" s="10"/>
      <c r="B991" s="10"/>
      <c r="C991" s="10"/>
      <c r="D991" s="10"/>
      <c r="E991" s="10"/>
      <c r="F991" s="120"/>
      <c r="G991" s="120"/>
      <c r="H991" s="120"/>
      <c r="I991" s="10"/>
      <c r="J991" s="6"/>
    </row>
    <row r="992">
      <c r="A992" s="10"/>
      <c r="B992" s="10"/>
      <c r="C992" s="10"/>
      <c r="D992" s="10"/>
      <c r="E992" s="10"/>
      <c r="F992" s="120"/>
      <c r="G992" s="120"/>
      <c r="H992" s="120"/>
      <c r="I992" s="10"/>
      <c r="J992" s="6"/>
    </row>
    <row r="993">
      <c r="A993" s="10"/>
      <c r="B993" s="10"/>
      <c r="C993" s="10"/>
      <c r="D993" s="10"/>
      <c r="E993" s="10"/>
      <c r="F993" s="120"/>
      <c r="G993" s="120"/>
      <c r="H993" s="120"/>
      <c r="I993" s="10"/>
      <c r="J993" s="6"/>
    </row>
    <row r="994">
      <c r="A994" s="10"/>
      <c r="B994" s="10"/>
      <c r="C994" s="10"/>
      <c r="D994" s="10"/>
      <c r="E994" s="10"/>
      <c r="F994" s="120"/>
      <c r="G994" s="120"/>
      <c r="H994" s="120"/>
      <c r="I994" s="10"/>
      <c r="J994" s="6"/>
    </row>
    <row r="995">
      <c r="A995" s="10"/>
      <c r="B995" s="10"/>
      <c r="C995" s="10"/>
      <c r="D995" s="10"/>
      <c r="E995" s="10"/>
      <c r="F995" s="120"/>
      <c r="G995" s="120"/>
      <c r="H995" s="120"/>
      <c r="I995" s="10"/>
      <c r="J995" s="6"/>
    </row>
    <row r="996">
      <c r="A996" s="10"/>
      <c r="B996" s="10"/>
      <c r="C996" s="10"/>
      <c r="D996" s="10"/>
      <c r="E996" s="10"/>
      <c r="F996" s="120"/>
      <c r="G996" s="120"/>
      <c r="H996" s="120"/>
      <c r="I996" s="10"/>
      <c r="J996" s="6"/>
    </row>
    <row r="997">
      <c r="A997" s="10"/>
      <c r="B997" s="10"/>
      <c r="C997" s="10"/>
      <c r="D997" s="10"/>
      <c r="E997" s="10"/>
      <c r="F997" s="120"/>
      <c r="G997" s="120"/>
      <c r="H997" s="120"/>
      <c r="I997" s="10"/>
      <c r="J997" s="6"/>
    </row>
    <row r="998">
      <c r="A998" s="10"/>
      <c r="B998" s="10"/>
      <c r="C998" s="10"/>
      <c r="D998" s="10"/>
      <c r="E998" s="10"/>
      <c r="F998" s="120"/>
      <c r="G998" s="120"/>
      <c r="H998" s="120"/>
      <c r="I998" s="10"/>
      <c r="J998" s="6"/>
    </row>
    <row r="999">
      <c r="A999" s="10"/>
      <c r="B999" s="10"/>
      <c r="C999" s="10"/>
      <c r="D999" s="10"/>
      <c r="E999" s="10"/>
      <c r="F999" s="120"/>
      <c r="G999" s="120"/>
      <c r="H999" s="120"/>
      <c r="I999" s="10"/>
      <c r="J999" s="6"/>
    </row>
    <row r="1000">
      <c r="A1000" s="10"/>
      <c r="B1000" s="10"/>
      <c r="C1000" s="10"/>
      <c r="D1000" s="10"/>
      <c r="E1000" s="10"/>
      <c r="F1000" s="120"/>
      <c r="G1000" s="120"/>
      <c r="H1000" s="120"/>
      <c r="I1000" s="10"/>
      <c r="J1000" s="6"/>
    </row>
    <row r="1001">
      <c r="A1001" s="10"/>
      <c r="B1001" s="10"/>
      <c r="C1001" s="10"/>
      <c r="D1001" s="10"/>
      <c r="E1001" s="10"/>
      <c r="F1001" s="120"/>
      <c r="G1001" s="120"/>
      <c r="H1001" s="120"/>
      <c r="I1001" s="10"/>
      <c r="J1001" s="6"/>
    </row>
    <row r="1002">
      <c r="A1002" s="10"/>
      <c r="B1002" s="10"/>
      <c r="C1002" s="10"/>
      <c r="D1002" s="10"/>
      <c r="E1002" s="10"/>
      <c r="F1002" s="120"/>
      <c r="G1002" s="120"/>
      <c r="H1002" s="120"/>
      <c r="I1002" s="10"/>
      <c r="J1002" s="6"/>
    </row>
    <row r="1003">
      <c r="A1003" s="10"/>
      <c r="B1003" s="10"/>
      <c r="C1003" s="10"/>
      <c r="D1003" s="10"/>
      <c r="E1003" s="10"/>
      <c r="F1003" s="120"/>
      <c r="G1003" s="120"/>
      <c r="H1003" s="120"/>
      <c r="I1003" s="10"/>
      <c r="J1003" s="6"/>
    </row>
    <row r="1004">
      <c r="A1004" s="10"/>
      <c r="B1004" s="10"/>
      <c r="C1004" s="10"/>
      <c r="D1004" s="10"/>
      <c r="E1004" s="10"/>
      <c r="F1004" s="120"/>
      <c r="G1004" s="120"/>
      <c r="H1004" s="120"/>
      <c r="I1004" s="10"/>
      <c r="J1004" s="6"/>
    </row>
    <row r="1005">
      <c r="A1005" s="10"/>
      <c r="B1005" s="10"/>
      <c r="C1005" s="10"/>
      <c r="D1005" s="10"/>
      <c r="E1005" s="10"/>
      <c r="F1005" s="120"/>
      <c r="G1005" s="120"/>
      <c r="H1005" s="120"/>
      <c r="I1005" s="10"/>
      <c r="J1005" s="6"/>
    </row>
    <row r="1006">
      <c r="A1006" s="10"/>
      <c r="B1006" s="10"/>
      <c r="C1006" s="10"/>
      <c r="D1006" s="10"/>
      <c r="E1006" s="10"/>
      <c r="F1006" s="120"/>
      <c r="G1006" s="120"/>
      <c r="H1006" s="120"/>
      <c r="I1006" s="10"/>
      <c r="J1006" s="6"/>
    </row>
    <row r="1007">
      <c r="A1007" s="10"/>
      <c r="B1007" s="10"/>
      <c r="C1007" s="10"/>
      <c r="D1007" s="10"/>
      <c r="E1007" s="10"/>
      <c r="F1007" s="120"/>
      <c r="G1007" s="120"/>
      <c r="H1007" s="120"/>
      <c r="I1007" s="10"/>
      <c r="J1007" s="6"/>
    </row>
    <row r="1008">
      <c r="A1008" s="10"/>
      <c r="B1008" s="10"/>
      <c r="C1008" s="10"/>
      <c r="D1008" s="10"/>
      <c r="E1008" s="10"/>
      <c r="F1008" s="120"/>
      <c r="G1008" s="120"/>
      <c r="H1008" s="120"/>
      <c r="I1008" s="10"/>
      <c r="J1008" s="6"/>
    </row>
    <row r="1009">
      <c r="A1009" s="10"/>
      <c r="B1009" s="10"/>
      <c r="C1009" s="10"/>
      <c r="D1009" s="10"/>
      <c r="E1009" s="10"/>
      <c r="F1009" s="120"/>
      <c r="G1009" s="120"/>
      <c r="H1009" s="120"/>
      <c r="I1009" s="10"/>
      <c r="J1009" s="6"/>
    </row>
    <row r="1010">
      <c r="A1010" s="10"/>
      <c r="B1010" s="10"/>
      <c r="C1010" s="10"/>
      <c r="D1010" s="10"/>
      <c r="E1010" s="10"/>
      <c r="F1010" s="120"/>
      <c r="G1010" s="120"/>
      <c r="H1010" s="120"/>
      <c r="I1010" s="10"/>
      <c r="J1010" s="6"/>
    </row>
    <row r="1011">
      <c r="A1011" s="10"/>
      <c r="B1011" s="10"/>
      <c r="C1011" s="10"/>
      <c r="D1011" s="10"/>
      <c r="E1011" s="10"/>
      <c r="F1011" s="120"/>
      <c r="G1011" s="120"/>
      <c r="H1011" s="120"/>
      <c r="I1011" s="10"/>
      <c r="J1011" s="6"/>
    </row>
  </sheetData>
  <mergeCells count="1">
    <mergeCell ref="B3:B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2.38"/>
    <col customWidth="1" min="3" max="3" width="20.63"/>
    <col customWidth="1" min="4" max="4" width="7.5"/>
    <col customWidth="1" min="5" max="5" width="9.63"/>
    <col customWidth="1" min="6" max="6" width="47.63"/>
    <col customWidth="1" hidden="1" min="7" max="8" width="11.75"/>
    <col customWidth="1" min="9" max="9" width="11.88"/>
    <col customWidth="1" min="10" max="10" width="12.13"/>
    <col customWidth="1" min="11" max="11" width="12.0"/>
    <col customWidth="1" min="12" max="12" width="20.88"/>
    <col customWidth="1" min="13" max="13" width="9.38"/>
    <col customWidth="1" min="14" max="14" width="11.5"/>
    <col customWidth="1" min="15" max="15" width="11.88"/>
    <col customWidth="1" min="16" max="16" width="22.5"/>
    <col customWidth="1" hidden="1" min="17" max="17" width="16.5"/>
    <col customWidth="1" hidden="1" min="18" max="18" width="11.38"/>
    <col customWidth="1" hidden="1" min="19" max="19" width="10.75"/>
    <col customWidth="1" hidden="1" min="20" max="20" width="9.75"/>
    <col customWidth="1" hidden="1" min="21" max="22" width="10.13"/>
    <col customWidth="1" hidden="1" min="23" max="23" width="12.13"/>
    <col customWidth="1" hidden="1" min="24" max="24" width="10.13"/>
    <col customWidth="1" min="25" max="25" width="10.13"/>
    <col customWidth="1" min="26" max="26" width="30.0"/>
  </cols>
  <sheetData>
    <row r="1">
      <c r="A1" s="1"/>
      <c r="B1" s="2"/>
      <c r="C1" s="2"/>
      <c r="D1" s="2"/>
      <c r="E1" s="2"/>
      <c r="F1" s="121" t="s">
        <v>410</v>
      </c>
      <c r="G1" s="4"/>
      <c r="H1" s="4"/>
      <c r="I1" s="4"/>
      <c r="J1" s="4"/>
      <c r="K1" s="5"/>
      <c r="L1" s="5" t="s">
        <v>1</v>
      </c>
      <c r="Z1" s="122"/>
    </row>
    <row r="2">
      <c r="A2" s="7"/>
      <c r="B2" s="7"/>
      <c r="C2" s="7"/>
      <c r="D2" s="7"/>
      <c r="E2" s="7"/>
      <c r="F2" s="4" t="s">
        <v>411</v>
      </c>
      <c r="K2" s="8"/>
      <c r="L2" s="8" t="s">
        <v>3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23"/>
    </row>
    <row r="3">
      <c r="A3" s="7"/>
      <c r="B3" s="124"/>
      <c r="C3" s="11" t="s">
        <v>4</v>
      </c>
      <c r="D3" s="7"/>
      <c r="E3" s="7"/>
      <c r="F3" s="12" t="s">
        <v>5</v>
      </c>
      <c r="G3" s="12"/>
      <c r="H3" s="12"/>
      <c r="I3" s="13" t="s">
        <v>6</v>
      </c>
      <c r="K3" s="8"/>
      <c r="L3" s="8"/>
      <c r="M3" s="10"/>
      <c r="N3" s="10"/>
      <c r="O3" s="10"/>
      <c r="P3" s="14" t="s">
        <v>7</v>
      </c>
      <c r="Q3" s="10"/>
      <c r="R3" s="10"/>
      <c r="S3" s="10"/>
      <c r="T3" s="10"/>
      <c r="U3" s="10"/>
      <c r="V3" s="10"/>
      <c r="W3" s="10"/>
      <c r="X3" s="10"/>
      <c r="Y3" s="10"/>
      <c r="Z3" s="123"/>
    </row>
    <row r="4">
      <c r="A4" s="7"/>
      <c r="B4" s="124"/>
      <c r="D4" s="7"/>
      <c r="E4" s="7"/>
      <c r="F4" s="15" t="s">
        <v>8</v>
      </c>
      <c r="G4" s="15"/>
      <c r="H4" s="15"/>
      <c r="I4" s="16" t="s">
        <v>9</v>
      </c>
      <c r="K4" s="8" t="s">
        <v>10</v>
      </c>
      <c r="L4" s="8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23"/>
    </row>
    <row r="5">
      <c r="A5" s="7"/>
      <c r="B5" s="124"/>
      <c r="D5" s="7"/>
      <c r="E5" s="7"/>
      <c r="F5" s="15" t="s">
        <v>11</v>
      </c>
      <c r="G5" s="15"/>
      <c r="H5" s="15"/>
      <c r="I5" s="16" t="s">
        <v>12</v>
      </c>
      <c r="K5" s="8"/>
      <c r="L5" s="8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23"/>
    </row>
    <row r="6">
      <c r="A6" s="7"/>
      <c r="B6" s="124"/>
      <c r="D6" s="7"/>
      <c r="E6" s="7"/>
      <c r="F6" s="15" t="s">
        <v>13</v>
      </c>
      <c r="G6" s="15"/>
      <c r="H6" s="15"/>
      <c r="I6" s="16" t="s">
        <v>14</v>
      </c>
      <c r="K6" s="8"/>
      <c r="L6" s="8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23"/>
    </row>
    <row r="7">
      <c r="A7" s="7"/>
      <c r="B7" s="124"/>
      <c r="D7" s="7"/>
      <c r="E7" s="7"/>
      <c r="F7" s="15" t="s">
        <v>15</v>
      </c>
      <c r="G7" s="15"/>
      <c r="H7" s="15"/>
      <c r="I7" s="16" t="s">
        <v>16</v>
      </c>
      <c r="J7" s="17"/>
      <c r="K7" s="8"/>
      <c r="L7" s="8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23"/>
    </row>
    <row r="8">
      <c r="A8" s="7"/>
      <c r="B8" s="7"/>
      <c r="C8" s="7"/>
      <c r="D8" s="7"/>
      <c r="E8" s="7"/>
      <c r="F8" s="7"/>
      <c r="G8" s="7"/>
      <c r="H8" s="7"/>
      <c r="I8" s="7"/>
      <c r="J8" s="17"/>
      <c r="K8" s="8"/>
      <c r="L8" s="125" t="s">
        <v>412</v>
      </c>
      <c r="M8" s="126"/>
      <c r="N8" s="127"/>
      <c r="O8" s="10"/>
      <c r="P8" s="20"/>
      <c r="Q8" s="19" t="s">
        <v>20</v>
      </c>
      <c r="R8" s="10"/>
      <c r="S8" s="10"/>
      <c r="T8" s="10"/>
      <c r="U8" s="10"/>
      <c r="V8" s="10"/>
      <c r="W8" s="10"/>
      <c r="X8" s="10"/>
      <c r="Y8" s="10"/>
      <c r="Z8" s="123"/>
    </row>
    <row r="9">
      <c r="A9" s="128" t="s">
        <v>21</v>
      </c>
      <c r="B9" s="129" t="s">
        <v>413</v>
      </c>
      <c r="C9" s="129" t="s">
        <v>19</v>
      </c>
      <c r="D9" s="130" t="s">
        <v>22</v>
      </c>
      <c r="E9" s="130" t="s">
        <v>23</v>
      </c>
      <c r="F9" s="130" t="s">
        <v>24</v>
      </c>
      <c r="G9" s="131" t="s">
        <v>414</v>
      </c>
      <c r="H9" s="128" t="s">
        <v>415</v>
      </c>
      <c r="I9" s="128" t="s">
        <v>416</v>
      </c>
      <c r="J9" s="132" t="s">
        <v>26</v>
      </c>
      <c r="K9" s="133" t="s">
        <v>27</v>
      </c>
      <c r="L9" s="129" t="s">
        <v>28</v>
      </c>
      <c r="M9" s="134" t="s">
        <v>30</v>
      </c>
      <c r="N9" s="135" t="s">
        <v>417</v>
      </c>
      <c r="O9" s="129" t="s">
        <v>418</v>
      </c>
      <c r="P9" s="136" t="s">
        <v>419</v>
      </c>
      <c r="Q9" s="137" t="s">
        <v>33</v>
      </c>
      <c r="R9" s="137" t="s">
        <v>34</v>
      </c>
      <c r="S9" s="137" t="s">
        <v>35</v>
      </c>
      <c r="T9" s="137" t="s">
        <v>36</v>
      </c>
      <c r="U9" s="137" t="s">
        <v>37</v>
      </c>
      <c r="V9" s="129" t="s">
        <v>38</v>
      </c>
      <c r="W9" s="8" t="s">
        <v>39</v>
      </c>
      <c r="X9" s="8" t="s">
        <v>40</v>
      </c>
      <c r="Y9" s="138" t="s">
        <v>420</v>
      </c>
      <c r="Z9" s="139" t="s">
        <v>421</v>
      </c>
    </row>
    <row r="10" hidden="1">
      <c r="A10" s="140">
        <f t="shared" ref="A10:A185" si="1">ROW()-9</f>
        <v>1</v>
      </c>
      <c r="B10" s="141" t="str">
        <f t="array" ref="B10">XLOOKUP(D10,'GSM T4.2026'!$B$1:$B$996,'GSM T4.2026'!$C$1:$C$996)</f>
        <v>31/05/2025</v>
      </c>
      <c r="C10" s="142" t="str">
        <f t="array" ref="C10">XLOOKUP(F10,'GSM T4.2026'!D:D,'GSM T4.2026'!F:F)</f>
        <v>Nguyễn Thị Ngọc Bích</v>
      </c>
      <c r="D10" s="143" t="str">
        <f t="array" ref="D10">XLOOKUP(F10,'GSM T4.2026'!$D:$D,'GSM T4.2026'!$B:$B)</f>
        <v>VH7</v>
      </c>
      <c r="E10" s="144" t="str">
        <f t="array" ref="E10">XLOOKUP(F10,'GSM T4.2026'!D:D,'GSM T4.2026'!$E:$E)</f>
        <v>HCM 005</v>
      </c>
      <c r="F10" s="145" t="s">
        <v>422</v>
      </c>
      <c r="G10" s="146">
        <v>45988.0</v>
      </c>
      <c r="H10" s="147">
        <f t="shared" ref="H10:H19" si="2">TODAY()-G10</f>
        <v>182</v>
      </c>
      <c r="I10" s="148">
        <v>46037.0</v>
      </c>
      <c r="J10" s="149">
        <f t="shared" ref="J10:J17" si="3">I10-2</f>
        <v>46035</v>
      </c>
      <c r="K10" s="150">
        <f t="shared" ref="K10:K17" si="4">I10-4</f>
        <v>46033</v>
      </c>
      <c r="L10" s="147" t="s">
        <v>423</v>
      </c>
      <c r="M10" s="14" t="s">
        <v>7</v>
      </c>
      <c r="N10" s="151"/>
      <c r="O10" s="152">
        <f t="shared" ref="O10:O187" si="5">if(K10-TODAY()&lt;0,0,K10-today())</f>
        <v>0</v>
      </c>
      <c r="P10" s="153" t="s">
        <v>424</v>
      </c>
      <c r="Q10" s="154"/>
      <c r="R10" s="154"/>
      <c r="S10" s="154"/>
      <c r="T10" s="154"/>
      <c r="U10" s="154"/>
      <c r="V10" s="154"/>
      <c r="W10" s="154"/>
      <c r="X10" s="154"/>
      <c r="Y10" s="152">
        <f t="shared" ref="Y10:Y168" si="6">MONTH(I10)</f>
        <v>1</v>
      </c>
      <c r="Z10" s="152"/>
    </row>
    <row r="11" hidden="1">
      <c r="A11" s="140">
        <f t="shared" si="1"/>
        <v>2</v>
      </c>
      <c r="B11" s="141" t="str">
        <f t="array" ref="B11">XLOOKUP(D11,'GSM T4.2026'!$B$1:$B$996,'GSM T4.2026'!$C$1:$C$996)</f>
        <v>22/03/2025</v>
      </c>
      <c r="C11" s="142" t="str">
        <f t="array" ref="C11">XLOOKUP(F11,'GSM T4.2026'!D:D,'GSM T4.2026'!F:F)</f>
        <v>Lê Nguyễn Ngọc Phượng</v>
      </c>
      <c r="D11" s="143" t="str">
        <f t="array" ref="D11">XLOOKUP(F11,'GSM T4.2026'!$D:$D,'GSM T4.2026'!$B:$B)</f>
        <v>KDG</v>
      </c>
      <c r="E11" s="144" t="str">
        <f t="array" ref="E11">XLOOKUP(F11,'GSM T4.2026'!D:D,'GSM T4.2026'!$E:$E)</f>
        <v>HCM 016</v>
      </c>
      <c r="F11" s="145" t="s">
        <v>425</v>
      </c>
      <c r="G11" s="146">
        <v>45984.0</v>
      </c>
      <c r="H11" s="147">
        <f t="shared" si="2"/>
        <v>186</v>
      </c>
      <c r="I11" s="148">
        <v>46041.0</v>
      </c>
      <c r="J11" s="149">
        <f t="shared" si="3"/>
        <v>46039</v>
      </c>
      <c r="K11" s="150">
        <f t="shared" si="4"/>
        <v>46037</v>
      </c>
      <c r="L11" s="147" t="s">
        <v>426</v>
      </c>
      <c r="M11" s="14" t="s">
        <v>7</v>
      </c>
      <c r="N11" s="151"/>
      <c r="O11" s="152">
        <f t="shared" si="5"/>
        <v>0</v>
      </c>
      <c r="P11" s="153" t="s">
        <v>424</v>
      </c>
      <c r="Q11" s="155"/>
      <c r="R11" s="155"/>
      <c r="S11" s="155"/>
      <c r="T11" s="155"/>
      <c r="U11" s="155"/>
      <c r="V11" s="151"/>
      <c r="W11" s="156"/>
      <c r="X11" s="157"/>
      <c r="Y11" s="152">
        <f t="shared" si="6"/>
        <v>1</v>
      </c>
      <c r="Z11" s="152"/>
    </row>
    <row r="12" hidden="1">
      <c r="A12" s="140">
        <f t="shared" si="1"/>
        <v>3</v>
      </c>
      <c r="B12" s="141">
        <f t="array" ref="B12">XLOOKUP(D12,'GSM T4.2026'!$B$1:$B$996,'GSM T4.2026'!$C$1:$C$996)</f>
        <v>45905</v>
      </c>
      <c r="C12" s="142" t="str">
        <f t="array" ref="C12">XLOOKUP(F12,'GSM T4.2026'!D:D,'GSM T4.2026'!F:F)</f>
        <v>Trần Hữu Vinh</v>
      </c>
      <c r="D12" s="143" t="str">
        <f t="array" ref="D12">XLOOKUP(F12,'GSM T4.2026'!$D:$D,'GSM T4.2026'!$B:$B)</f>
        <v>NTN</v>
      </c>
      <c r="E12" s="144" t="str">
        <f t="array" ref="E12">XLOOKUP(F12,'GSM T4.2026'!D:D,'GSM T4.2026'!$E:$E)</f>
        <v>HCM 015</v>
      </c>
      <c r="F12" s="145" t="s">
        <v>427</v>
      </c>
      <c r="G12" s="146">
        <v>45951.0</v>
      </c>
      <c r="H12" s="147">
        <f t="shared" si="2"/>
        <v>219</v>
      </c>
      <c r="I12" s="148">
        <v>46041.0</v>
      </c>
      <c r="J12" s="149">
        <f t="shared" si="3"/>
        <v>46039</v>
      </c>
      <c r="K12" s="150">
        <f t="shared" si="4"/>
        <v>46037</v>
      </c>
      <c r="L12" s="147" t="s">
        <v>426</v>
      </c>
      <c r="M12" s="14" t="s">
        <v>7</v>
      </c>
      <c r="N12" s="151"/>
      <c r="O12" s="152">
        <f t="shared" si="5"/>
        <v>0</v>
      </c>
      <c r="P12" s="153" t="s">
        <v>424</v>
      </c>
      <c r="Q12" s="151"/>
      <c r="R12" s="151"/>
      <c r="S12" s="151"/>
      <c r="T12" s="151"/>
      <c r="U12" s="151"/>
      <c r="V12" s="151"/>
      <c r="W12" s="154"/>
      <c r="X12" s="157"/>
      <c r="Y12" s="152">
        <f t="shared" si="6"/>
        <v>1</v>
      </c>
      <c r="Z12" s="152"/>
    </row>
    <row r="13" hidden="1">
      <c r="A13" s="140">
        <f t="shared" si="1"/>
        <v>4</v>
      </c>
      <c r="B13" s="141" t="str">
        <f t="array" ref="B13">XLOOKUP(D13,'GSM T4.2026'!$B$1:$B$996,'GSM T4.2026'!$C$1:$C$996)</f>
        <v>14/10/2023</v>
      </c>
      <c r="C13" s="142" t="str">
        <f t="array" ref="C13">XLOOKUP(F13,'GSM T4.2026'!D:D,'GSM T4.2026'!F:F)</f>
        <v>Hồng Trọng Nghĩa</v>
      </c>
      <c r="D13" s="143" t="str">
        <f t="array" ref="D13">XLOOKUP(F13,'GSM T4.2026'!$D:$D,'GSM T4.2026'!$B:$B)</f>
        <v>MZK</v>
      </c>
      <c r="E13" s="144" t="str">
        <f t="array" ref="E13">XLOOKUP(F13,'GSM T4.2026'!D:D,'GSM T4.2026'!$E:$E)</f>
        <v>HCM 022</v>
      </c>
      <c r="F13" s="145" t="s">
        <v>428</v>
      </c>
      <c r="G13" s="146">
        <v>45790.0</v>
      </c>
      <c r="H13" s="147">
        <f t="shared" si="2"/>
        <v>380</v>
      </c>
      <c r="I13" s="148">
        <v>46044.0</v>
      </c>
      <c r="J13" s="149">
        <f t="shared" si="3"/>
        <v>46042</v>
      </c>
      <c r="K13" s="150">
        <f t="shared" si="4"/>
        <v>46040</v>
      </c>
      <c r="L13" s="147" t="s">
        <v>429</v>
      </c>
      <c r="M13" s="14" t="s">
        <v>7</v>
      </c>
      <c r="N13" s="151"/>
      <c r="O13" s="152">
        <f t="shared" si="5"/>
        <v>0</v>
      </c>
      <c r="P13" s="153" t="s">
        <v>424</v>
      </c>
      <c r="Q13" s="151"/>
      <c r="R13" s="151"/>
      <c r="S13" s="151"/>
      <c r="T13" s="151"/>
      <c r="U13" s="151"/>
      <c r="V13" s="151"/>
      <c r="W13" s="158"/>
      <c r="X13" s="157"/>
      <c r="Y13" s="152">
        <f t="shared" si="6"/>
        <v>1</v>
      </c>
      <c r="Z13" s="152"/>
    </row>
    <row r="14" hidden="1">
      <c r="A14" s="140">
        <f t="shared" si="1"/>
        <v>5</v>
      </c>
      <c r="B14" s="141" t="str">
        <f t="array" ref="B14">XLOOKUP(D14,'GSM T4.2026'!$B$1:$B$996,'GSM T4.2026'!$C$1:$C$996)</f>
        <v>27/06/2025</v>
      </c>
      <c r="C14" s="142" t="str">
        <f t="array" ref="C14">XLOOKUP(F14,'GSM T4.2026'!D:D,'GSM T4.2026'!F:F)</f>
        <v>Hứa Thái Hiển</v>
      </c>
      <c r="D14" s="143" t="str">
        <f t="array" ref="D14">XLOOKUP(F14,'GSM T4.2026'!$D:$D,'GSM T4.2026'!$B:$B)</f>
        <v>A104</v>
      </c>
      <c r="E14" s="144" t="str">
        <f t="array" ref="E14">XLOOKUP(F14,'GSM T4.2026'!D:D,'GSM T4.2026'!$E:$E)</f>
        <v>HCM 023</v>
      </c>
      <c r="F14" s="145" t="s">
        <v>430</v>
      </c>
      <c r="G14" s="146">
        <v>45950.0</v>
      </c>
      <c r="H14" s="147">
        <f t="shared" si="2"/>
        <v>220</v>
      </c>
      <c r="I14" s="148">
        <v>46044.0</v>
      </c>
      <c r="J14" s="149">
        <f t="shared" si="3"/>
        <v>46042</v>
      </c>
      <c r="K14" s="150">
        <f t="shared" si="4"/>
        <v>46040</v>
      </c>
      <c r="L14" s="147" t="s">
        <v>431</v>
      </c>
      <c r="M14" s="14" t="s">
        <v>7</v>
      </c>
      <c r="N14" s="151"/>
      <c r="O14" s="152">
        <f t="shared" si="5"/>
        <v>0</v>
      </c>
      <c r="P14" s="153" t="s">
        <v>424</v>
      </c>
      <c r="Q14" s="151"/>
      <c r="R14" s="151"/>
      <c r="S14" s="151"/>
      <c r="T14" s="151"/>
      <c r="U14" s="151"/>
      <c r="V14" s="151"/>
      <c r="W14" s="158"/>
      <c r="X14" s="157"/>
      <c r="Y14" s="152">
        <f t="shared" si="6"/>
        <v>1</v>
      </c>
      <c r="Z14" s="152"/>
    </row>
    <row r="15" hidden="1">
      <c r="A15" s="140">
        <f t="shared" si="1"/>
        <v>6</v>
      </c>
      <c r="B15" s="141">
        <f t="array" ref="B15">XLOOKUP(D15,'GSM T4.2026'!$B$1:$B$996,'GSM T4.2026'!$C$1:$C$996)</f>
        <v>45605</v>
      </c>
      <c r="C15" s="142" t="str">
        <f t="array" ref="C15">XLOOKUP(F15,'GSM T4.2026'!D:D,'GSM T4.2026'!F:F)</f>
        <v>Nguyễn Thị Ngọc Bích</v>
      </c>
      <c r="D15" s="143" t="str">
        <f t="array" ref="D15">XLOOKUP(F15,'GSM T4.2026'!$D:$D,'GSM T4.2026'!$B:$B)</f>
        <v>VH5</v>
      </c>
      <c r="E15" s="144" t="str">
        <f t="array" ref="E15">XLOOKUP(F15,'GSM T4.2026'!D:D,'GSM T4.2026'!$E:$E)</f>
        <v>HCM 005</v>
      </c>
      <c r="F15" s="145" t="s">
        <v>432</v>
      </c>
      <c r="G15" s="146">
        <v>45796.0</v>
      </c>
      <c r="H15" s="147">
        <f t="shared" si="2"/>
        <v>374</v>
      </c>
      <c r="I15" s="148">
        <v>46050.0</v>
      </c>
      <c r="J15" s="149">
        <f t="shared" si="3"/>
        <v>46048</v>
      </c>
      <c r="K15" s="150">
        <f t="shared" si="4"/>
        <v>46046</v>
      </c>
      <c r="L15" s="147" t="s">
        <v>433</v>
      </c>
      <c r="M15" s="14" t="s">
        <v>7</v>
      </c>
      <c r="N15" s="151"/>
      <c r="O15" s="152">
        <f t="shared" si="5"/>
        <v>0</v>
      </c>
      <c r="P15" s="153" t="s">
        <v>424</v>
      </c>
      <c r="Q15" s="154"/>
      <c r="R15" s="154"/>
      <c r="S15" s="154"/>
      <c r="T15" s="154"/>
      <c r="U15" s="154"/>
      <c r="V15" s="154"/>
      <c r="W15" s="154"/>
      <c r="X15" s="154"/>
      <c r="Y15" s="152">
        <f t="shared" si="6"/>
        <v>1</v>
      </c>
      <c r="Z15" s="152"/>
    </row>
    <row r="16" hidden="1">
      <c r="A16" s="140">
        <f t="shared" si="1"/>
        <v>7</v>
      </c>
      <c r="B16" s="141" t="str">
        <f t="array" ref="B16">XLOOKUP(D16,'GSM T4.2026'!$B$1:$B$996,'GSM T4.2026'!$C$1:$C$996)</f>
        <v>15/11/2025</v>
      </c>
      <c r="C16" s="142" t="str">
        <f t="array" ref="C16">XLOOKUP(F16,'GSM T4.2026'!D:D,'GSM T4.2026'!F:F)</f>
        <v>Hồ Xuân Thịnh</v>
      </c>
      <c r="D16" s="143" t="str">
        <f t="array" ref="D16">XLOOKUP(F16,'GSM T4.2026'!$D:$D,'GSM T4.2026'!$B:$B)</f>
        <v>A125</v>
      </c>
      <c r="E16" s="144" t="str">
        <f t="array" ref="E16">XLOOKUP(F16,'GSM T4.2026'!D:D,'GSM T4.2026'!$E:$E)</f>
        <v>HCM 021</v>
      </c>
      <c r="F16" s="145" t="s">
        <v>434</v>
      </c>
      <c r="G16" s="146">
        <v>46009.0</v>
      </c>
      <c r="H16" s="147">
        <f t="shared" si="2"/>
        <v>161</v>
      </c>
      <c r="I16" s="148">
        <v>46052.0</v>
      </c>
      <c r="J16" s="149">
        <f t="shared" si="3"/>
        <v>46050</v>
      </c>
      <c r="K16" s="150">
        <f t="shared" si="4"/>
        <v>46048</v>
      </c>
      <c r="L16" s="147" t="s">
        <v>435</v>
      </c>
      <c r="M16" s="14" t="s">
        <v>7</v>
      </c>
      <c r="N16" s="151"/>
      <c r="O16" s="152">
        <f t="shared" si="5"/>
        <v>0</v>
      </c>
      <c r="P16" s="153" t="s">
        <v>424</v>
      </c>
      <c r="Q16" s="151"/>
      <c r="R16" s="151"/>
      <c r="S16" s="151"/>
      <c r="T16" s="151"/>
      <c r="U16" s="151"/>
      <c r="V16" s="151"/>
      <c r="W16" s="154"/>
      <c r="X16" s="157"/>
      <c r="Y16" s="152">
        <f t="shared" si="6"/>
        <v>1</v>
      </c>
      <c r="Z16" s="152"/>
    </row>
    <row r="17" hidden="1">
      <c r="A17" s="140">
        <f t="shared" si="1"/>
        <v>8</v>
      </c>
      <c r="B17" s="141">
        <f t="array" ref="B17">XLOOKUP(D17,'GSM T4.2026'!$B$1:$B$996,'GSM T4.2026'!$C$1:$C$996)</f>
        <v>45386</v>
      </c>
      <c r="C17" s="142" t="str">
        <f t="array" ref="C17">XLOOKUP(F17,'GSM T4.2026'!D:D,'GSM T4.2026'!F:F)</f>
        <v>Phạm Duy</v>
      </c>
      <c r="D17" s="143" t="str">
        <f t="array" ref="D17">XLOOKUP(F17,'GSM T4.2026'!$D:$D,'GSM T4.2026'!$B:$B)</f>
        <v>PTN</v>
      </c>
      <c r="E17" s="144" t="str">
        <f t="array" ref="E17">XLOOKUP(F17,'GSM T4.2026'!D:D,'GSM T4.2026'!$E:$E)</f>
        <v>HCM 024</v>
      </c>
      <c r="F17" s="145" t="s">
        <v>436</v>
      </c>
      <c r="G17" s="146">
        <v>45908.0</v>
      </c>
      <c r="H17" s="147">
        <f t="shared" si="2"/>
        <v>262</v>
      </c>
      <c r="I17" s="148">
        <v>46090.0</v>
      </c>
      <c r="J17" s="149">
        <f t="shared" si="3"/>
        <v>46088</v>
      </c>
      <c r="K17" s="150">
        <f t="shared" si="4"/>
        <v>46086</v>
      </c>
      <c r="L17" s="147" t="s">
        <v>437</v>
      </c>
      <c r="M17" s="14" t="s">
        <v>7</v>
      </c>
      <c r="N17" s="159">
        <v>46329.0</v>
      </c>
      <c r="O17" s="152">
        <f t="shared" si="5"/>
        <v>0</v>
      </c>
      <c r="P17" s="153" t="s">
        <v>438</v>
      </c>
      <c r="Q17" s="151"/>
      <c r="R17" s="151"/>
      <c r="S17" s="151"/>
      <c r="T17" s="151"/>
      <c r="U17" s="151"/>
      <c r="V17" s="151"/>
      <c r="W17" s="151"/>
      <c r="X17" s="151"/>
      <c r="Y17" s="152">
        <f t="shared" si="6"/>
        <v>3</v>
      </c>
      <c r="Z17" s="152"/>
    </row>
    <row r="18">
      <c r="A18" s="140">
        <f t="shared" si="1"/>
        <v>9</v>
      </c>
      <c r="B18" s="141" t="str">
        <f t="array" ref="B18">XLOOKUP(D18,'GSM T4.2026'!$B$1:$B$996,'GSM T4.2026'!$C$1:$C$996)</f>
        <v>24/05/2024</v>
      </c>
      <c r="C18" s="142" t="str">
        <f t="array" ref="C18">XLOOKUP(F18,'GSM T4.2026'!D:D,'GSM T4.2026'!F:F)</f>
        <v>Võ Minh Đạt</v>
      </c>
      <c r="D18" s="143" t="str">
        <f t="array" ref="D18">XLOOKUP(F18,'GSM T4.2026'!$D:$D,'GSM T4.2026'!$B:$B)</f>
        <v>QHG</v>
      </c>
      <c r="E18" s="144" t="str">
        <f t="array" ref="E18">XLOOKUP(F18,'GSM T4.2026'!D:D,'GSM T4.2026'!$E:$E)</f>
        <v>HCM 018</v>
      </c>
      <c r="F18" s="145" t="s">
        <v>439</v>
      </c>
      <c r="G18" s="146">
        <v>45764.0</v>
      </c>
      <c r="H18" s="147">
        <f t="shared" si="2"/>
        <v>406</v>
      </c>
      <c r="I18" s="148">
        <v>46145.0</v>
      </c>
      <c r="J18" s="149">
        <f>I18+2</f>
        <v>46147</v>
      </c>
      <c r="K18" s="150">
        <f>I18-3</f>
        <v>46142</v>
      </c>
      <c r="L18" s="147" t="s">
        <v>440</v>
      </c>
      <c r="M18" s="14" t="s">
        <v>7</v>
      </c>
      <c r="N18" s="159">
        <v>46208.0</v>
      </c>
      <c r="O18" s="152">
        <f t="shared" si="5"/>
        <v>0</v>
      </c>
      <c r="P18" s="153" t="s">
        <v>438</v>
      </c>
      <c r="Q18" s="151"/>
      <c r="R18" s="151"/>
      <c r="S18" s="151"/>
      <c r="T18" s="151"/>
      <c r="U18" s="151"/>
      <c r="V18" s="151"/>
      <c r="W18" s="154"/>
      <c r="X18" s="160"/>
      <c r="Y18" s="152">
        <f t="shared" si="6"/>
        <v>5</v>
      </c>
      <c r="Z18" s="152"/>
    </row>
    <row r="19" hidden="1">
      <c r="A19" s="140">
        <f t="shared" si="1"/>
        <v>10</v>
      </c>
      <c r="B19" s="141">
        <f t="array" ref="B19">XLOOKUP(D19,'GSM T4.2026'!$B$1:$B$996,'GSM T4.2026'!$C$1:$C$996)</f>
        <v>45912</v>
      </c>
      <c r="C19" s="142" t="str">
        <f t="array" ref="C19">XLOOKUP(F19,'GSM T4.2026'!D:D,'GSM T4.2026'!F:F)</f>
        <v>Võ Thị Thùy Dương</v>
      </c>
      <c r="D19" s="143" t="str">
        <f t="array" ref="D19">XLOOKUP(F19,'GSM T4.2026'!$D:$D,'GSM T4.2026'!$B:$B)</f>
        <v>A110</v>
      </c>
      <c r="E19" s="144" t="str">
        <f t="array" ref="E19">XLOOKUP(F19,'GSM T4.2026'!D:D,'GSM T4.2026'!$E:$E)</f>
        <v>HCM 032</v>
      </c>
      <c r="F19" s="145" t="s">
        <v>441</v>
      </c>
      <c r="G19" s="146">
        <v>46006.0</v>
      </c>
      <c r="H19" s="147">
        <f t="shared" si="2"/>
        <v>164</v>
      </c>
      <c r="I19" s="148">
        <v>46080.0</v>
      </c>
      <c r="J19" s="149">
        <f t="shared" ref="J19:J23" si="7">I19-2</f>
        <v>46078</v>
      </c>
      <c r="K19" s="150">
        <f t="shared" ref="K19:K20" si="8">I19-4</f>
        <v>46076</v>
      </c>
      <c r="L19" s="147" t="s">
        <v>442</v>
      </c>
      <c r="M19" s="14" t="s">
        <v>7</v>
      </c>
      <c r="N19" s="159">
        <v>46056.0</v>
      </c>
      <c r="O19" s="152">
        <f t="shared" si="5"/>
        <v>0</v>
      </c>
      <c r="P19" s="153" t="s">
        <v>424</v>
      </c>
      <c r="Q19" s="161"/>
      <c r="R19" s="161"/>
      <c r="S19" s="161"/>
      <c r="T19" s="161"/>
      <c r="U19" s="161"/>
      <c r="V19" s="161"/>
      <c r="W19" s="151"/>
      <c r="X19" s="151"/>
      <c r="Y19" s="152">
        <f t="shared" si="6"/>
        <v>2</v>
      </c>
      <c r="Z19" s="152"/>
    </row>
    <row r="20" hidden="1">
      <c r="A20" s="140">
        <f t="shared" si="1"/>
        <v>11</v>
      </c>
      <c r="B20" s="141" t="str">
        <f t="array" ref="B20">XLOOKUP(D20,'GSM T4.2026'!$B$1:$B$996,'GSM T4.2026'!$C$1:$C$996)</f>
        <v>27/12/2025</v>
      </c>
      <c r="C20" s="142" t="str">
        <f t="array" ref="C20">XLOOKUP(F20,'GSM T4.2026'!D:D,'GSM T4.2026'!F:F)</f>
        <v>Trương Công Nhật Tùng</v>
      </c>
      <c r="D20" s="143" t="str">
        <f t="array" ref="D20">XLOOKUP(F20,'GSM T4.2026'!$D:$D,'GSM T4.2026'!$B:$B)</f>
        <v>A141</v>
      </c>
      <c r="E20" s="144" t="str">
        <f t="array" ref="E20">XLOOKUP(F20,'GSM T4.2026'!D:D,'GSM T4.2026'!$E:$E)</f>
        <v>HCM 030</v>
      </c>
      <c r="F20" s="145" t="s">
        <v>443</v>
      </c>
      <c r="G20" s="147" t="s">
        <v>444</v>
      </c>
      <c r="H20" s="147" t="s">
        <v>444</v>
      </c>
      <c r="I20" s="148">
        <v>46094.0</v>
      </c>
      <c r="J20" s="149">
        <f t="shared" si="7"/>
        <v>46092</v>
      </c>
      <c r="K20" s="150">
        <f t="shared" si="8"/>
        <v>46090</v>
      </c>
      <c r="L20" s="147" t="s">
        <v>445</v>
      </c>
      <c r="M20" s="14" t="s">
        <v>7</v>
      </c>
      <c r="N20" s="162" t="s">
        <v>446</v>
      </c>
      <c r="O20" s="152">
        <f t="shared" si="5"/>
        <v>0</v>
      </c>
      <c r="P20" s="153" t="s">
        <v>438</v>
      </c>
      <c r="Q20" s="151"/>
      <c r="R20" s="151"/>
      <c r="S20" s="151"/>
      <c r="T20" s="151"/>
      <c r="U20" s="151"/>
      <c r="V20" s="151"/>
      <c r="W20" s="151"/>
      <c r="X20" s="151"/>
      <c r="Y20" s="152">
        <f t="shared" si="6"/>
        <v>3</v>
      </c>
      <c r="Z20" s="152"/>
    </row>
    <row r="21" hidden="1">
      <c r="A21" s="140">
        <f t="shared" si="1"/>
        <v>12</v>
      </c>
      <c r="B21" s="141">
        <f t="array" ref="B21">XLOOKUP(D21,'GSM T4.2026'!$B$1:$B$996,'GSM T4.2026'!$C$1:$C$996)</f>
        <v>45780</v>
      </c>
      <c r="C21" s="142" t="str">
        <f t="array" ref="C21">XLOOKUP(F21,'GSM T4.2026'!D:D,'GSM T4.2026'!F:F)</f>
        <v>Lê Ngọc Phát</v>
      </c>
      <c r="D21" s="143" t="str">
        <f t="array" ref="D21">XLOOKUP(F21,'GSM T4.2026'!$D:$D,'GSM T4.2026'!$B:$B)</f>
        <v>A101</v>
      </c>
      <c r="E21" s="144" t="str">
        <f t="array" ref="E21">XLOOKUP(F21,'GSM T4.2026'!D:D,'GSM T4.2026'!$E:$E)</f>
        <v>HCM 027</v>
      </c>
      <c r="F21" s="145" t="s">
        <v>447</v>
      </c>
      <c r="G21" s="146">
        <v>45946.0</v>
      </c>
      <c r="H21" s="147">
        <f t="shared" ref="H21:H26" si="9">TODAY()-G21</f>
        <v>224</v>
      </c>
      <c r="I21" s="148">
        <v>46100.0</v>
      </c>
      <c r="J21" s="149">
        <f t="shared" si="7"/>
        <v>46098</v>
      </c>
      <c r="K21" s="150">
        <f t="shared" ref="K21:K23" si="10">I21-3</f>
        <v>46097</v>
      </c>
      <c r="L21" s="147" t="s">
        <v>448</v>
      </c>
      <c r="M21" s="14" t="s">
        <v>7</v>
      </c>
      <c r="N21" s="151"/>
      <c r="O21" s="152">
        <f t="shared" si="5"/>
        <v>0</v>
      </c>
      <c r="P21" s="153" t="s">
        <v>449</v>
      </c>
      <c r="Q21" s="151"/>
      <c r="R21" s="151"/>
      <c r="S21" s="151"/>
      <c r="T21" s="163"/>
      <c r="U21" s="151"/>
      <c r="V21" s="151"/>
      <c r="W21" s="158"/>
      <c r="X21" s="157"/>
      <c r="Y21" s="152">
        <f t="shared" si="6"/>
        <v>3</v>
      </c>
      <c r="Z21" s="152"/>
    </row>
    <row r="22" hidden="1">
      <c r="A22" s="140">
        <f t="shared" si="1"/>
        <v>13</v>
      </c>
      <c r="B22" s="141" t="str">
        <f t="array" ref="B22">XLOOKUP(D22,'GSM T4.2026'!$B$1:$B$996,'GSM T4.2026'!$C$1:$C$996)</f>
        <v>15/07/2023</v>
      </c>
      <c r="C22" s="142" t="str">
        <f t="array" ref="C22">XLOOKUP(F22,'GSM T4.2026'!D:D,'GSM T4.2026'!F:F)</f>
        <v>Nguyễn Đình Vũ</v>
      </c>
      <c r="D22" s="143" t="str">
        <f t="array" ref="D22">XLOOKUP(F22,'GSM T4.2026'!$D:$D,'GSM T4.2026'!$B:$B)</f>
        <v>DXH</v>
      </c>
      <c r="E22" s="144" t="str">
        <f t="array" ref="E22">XLOOKUP(F22,'GSM T4.2026'!D:D,'GSM T4.2026'!$E:$E)</f>
        <v>HCM 006</v>
      </c>
      <c r="F22" s="145" t="s">
        <v>450</v>
      </c>
      <c r="G22" s="146">
        <v>45766.0</v>
      </c>
      <c r="H22" s="147">
        <f t="shared" si="9"/>
        <v>404</v>
      </c>
      <c r="I22" s="148">
        <v>46102.0</v>
      </c>
      <c r="J22" s="149">
        <f t="shared" si="7"/>
        <v>46100</v>
      </c>
      <c r="K22" s="150">
        <f t="shared" si="10"/>
        <v>46099</v>
      </c>
      <c r="L22" s="147" t="s">
        <v>451</v>
      </c>
      <c r="M22" s="14" t="s">
        <v>7</v>
      </c>
      <c r="N22" s="162" t="s">
        <v>452</v>
      </c>
      <c r="O22" s="152">
        <f t="shared" si="5"/>
        <v>0</v>
      </c>
      <c r="P22" s="153" t="s">
        <v>438</v>
      </c>
      <c r="Q22" s="151"/>
      <c r="R22" s="151"/>
      <c r="S22" s="151"/>
      <c r="T22" s="151"/>
      <c r="U22" s="151"/>
      <c r="V22" s="151"/>
      <c r="W22" s="154"/>
      <c r="X22" s="157"/>
      <c r="Y22" s="152">
        <f t="shared" si="6"/>
        <v>3</v>
      </c>
      <c r="Z22" s="152"/>
    </row>
    <row r="23" hidden="1">
      <c r="A23" s="140">
        <f t="shared" si="1"/>
        <v>14</v>
      </c>
      <c r="B23" s="141" t="str">
        <f t="array" ref="B23">XLOOKUP(D23,'GSM T4.2026'!$B$1:$B$996,'GSM T4.2026'!$C$1:$C$996)</f>
        <v>23/03/2023</v>
      </c>
      <c r="C23" s="142" t="str">
        <f t="array" ref="C23">XLOOKUP(F23,'GSM T4.2026'!D:D,'GSM T4.2026'!F:F)</f>
        <v>Phạm Hữu Chương</v>
      </c>
      <c r="D23" s="143" t="str">
        <f t="array" ref="D23">XLOOKUP(F23,'GSM T4.2026'!$D:$D,'GSM T4.2026'!$B:$B)</f>
        <v>NTD</v>
      </c>
      <c r="E23" s="144" t="str">
        <f t="array" ref="E23">XLOOKUP(F23,'GSM T4.2026'!D:D,'GSM T4.2026'!$E:$E)</f>
        <v>HCM 020</v>
      </c>
      <c r="F23" s="145" t="s">
        <v>453</v>
      </c>
      <c r="G23" s="146">
        <v>45753.0</v>
      </c>
      <c r="H23" s="147">
        <f t="shared" si="9"/>
        <v>417</v>
      </c>
      <c r="I23" s="148">
        <v>46102.0</v>
      </c>
      <c r="J23" s="149">
        <f t="shared" si="7"/>
        <v>46100</v>
      </c>
      <c r="K23" s="150">
        <f t="shared" si="10"/>
        <v>46099</v>
      </c>
      <c r="L23" s="147" t="s">
        <v>451</v>
      </c>
      <c r="M23" s="14" t="s">
        <v>7</v>
      </c>
      <c r="N23" s="162" t="s">
        <v>452</v>
      </c>
      <c r="O23" s="152">
        <f t="shared" si="5"/>
        <v>0</v>
      </c>
      <c r="P23" s="153" t="s">
        <v>438</v>
      </c>
      <c r="Q23" s="151"/>
      <c r="R23" s="151"/>
      <c r="S23" s="151"/>
      <c r="T23" s="151"/>
      <c r="U23" s="151"/>
      <c r="V23" s="151"/>
      <c r="W23" s="154"/>
      <c r="X23" s="157"/>
      <c r="Y23" s="152">
        <f t="shared" si="6"/>
        <v>3</v>
      </c>
      <c r="Z23" s="152"/>
    </row>
    <row r="24" hidden="1">
      <c r="A24" s="140">
        <f t="shared" si="1"/>
        <v>15</v>
      </c>
      <c r="B24" s="141" t="str">
        <f t="array" ref="B24">XLOOKUP(D24,'GSM T4.2026'!$B$1:$B$996,'GSM T4.2026'!$C$1:$C$996)</f>
        <v>14/10/2023</v>
      </c>
      <c r="C24" s="142" t="str">
        <f t="array" ref="C24">XLOOKUP(F24,'GSM T4.2026'!D:D,'GSM T4.2026'!F:F)</f>
        <v>Hồ Xuân Thịnh</v>
      </c>
      <c r="D24" s="143" t="str">
        <f t="array" ref="D24">XLOOKUP(F24,'GSM T4.2026'!$D:$D,'GSM T4.2026'!$B:$B)</f>
        <v>VH2</v>
      </c>
      <c r="E24" s="144" t="str">
        <f t="array" ref="E24">XLOOKUP(F24,'GSM T4.2026'!D:D,'GSM T4.2026'!$E:$E)</f>
        <v>HCM 021</v>
      </c>
      <c r="F24" s="145" t="s">
        <v>454</v>
      </c>
      <c r="G24" s="146">
        <v>45966.0</v>
      </c>
      <c r="H24" s="147">
        <f t="shared" si="9"/>
        <v>204</v>
      </c>
      <c r="I24" s="148">
        <v>46107.0</v>
      </c>
      <c r="J24" s="149">
        <f>I24-3</f>
        <v>46104</v>
      </c>
      <c r="K24" s="150">
        <f>I24-4</f>
        <v>46103</v>
      </c>
      <c r="L24" s="147" t="s">
        <v>455</v>
      </c>
      <c r="M24" s="14" t="s">
        <v>7</v>
      </c>
      <c r="N24" s="162" t="s">
        <v>456</v>
      </c>
      <c r="O24" s="152">
        <f t="shared" si="5"/>
        <v>0</v>
      </c>
      <c r="P24" s="153" t="s">
        <v>438</v>
      </c>
      <c r="Q24" s="151"/>
      <c r="R24" s="151"/>
      <c r="S24" s="151"/>
      <c r="T24" s="151"/>
      <c r="U24" s="151"/>
      <c r="V24" s="151"/>
      <c r="W24" s="158"/>
      <c r="X24" s="157"/>
      <c r="Y24" s="152">
        <f t="shared" si="6"/>
        <v>3</v>
      </c>
      <c r="Z24" s="152"/>
    </row>
    <row r="25" hidden="1">
      <c r="A25" s="140">
        <f t="shared" si="1"/>
        <v>16</v>
      </c>
      <c r="B25" s="141">
        <f t="array" ref="B25">XLOOKUP(D25,'GSM T4.2026'!$B$1:$B$996,'GSM T4.2026'!$C$1:$C$996)</f>
        <v>45078</v>
      </c>
      <c r="C25" s="142" t="str">
        <f t="array" ref="C25">XLOOKUP(F25,'GSM T4.2026'!D:D,'GSM T4.2026'!F:F)</f>
        <v>Đặng Đăng Khoa</v>
      </c>
      <c r="D25" s="143" t="str">
        <f t="array" ref="D25">XLOOKUP(F25,'GSM T4.2026'!$D:$D,'GSM T4.2026'!$B:$B)</f>
        <v>NVQ</v>
      </c>
      <c r="E25" s="144" t="str">
        <f t="array" ref="E25">XLOOKUP(F25,'GSM T4.2026'!D:D,'GSM T4.2026'!$E:$E)</f>
        <v>HCM 036</v>
      </c>
      <c r="F25" s="145" t="s">
        <v>457</v>
      </c>
      <c r="G25" s="146">
        <v>45995.0</v>
      </c>
      <c r="H25" s="147">
        <f t="shared" si="9"/>
        <v>175</v>
      </c>
      <c r="I25" s="148">
        <v>46107.0</v>
      </c>
      <c r="J25" s="149">
        <f t="shared" ref="J25:J27" si="11">I25-2</f>
        <v>46105</v>
      </c>
      <c r="K25" s="150">
        <f t="shared" ref="K25:K26" si="12">I25-3</f>
        <v>46104</v>
      </c>
      <c r="L25" s="147" t="s">
        <v>458</v>
      </c>
      <c r="M25" s="14" t="s">
        <v>7</v>
      </c>
      <c r="N25" s="162" t="s">
        <v>459</v>
      </c>
      <c r="O25" s="152">
        <f t="shared" si="5"/>
        <v>0</v>
      </c>
      <c r="P25" s="153" t="s">
        <v>438</v>
      </c>
      <c r="Q25" s="151"/>
      <c r="R25" s="151"/>
      <c r="S25" s="151"/>
      <c r="T25" s="151"/>
      <c r="U25" s="151"/>
      <c r="V25" s="151"/>
      <c r="W25" s="158"/>
      <c r="X25" s="157"/>
      <c r="Y25" s="152">
        <f t="shared" si="6"/>
        <v>3</v>
      </c>
      <c r="Z25" s="152"/>
    </row>
    <row r="26" hidden="1">
      <c r="A26" s="140">
        <f t="shared" si="1"/>
        <v>17</v>
      </c>
      <c r="B26" s="141">
        <f t="array" ref="B26">XLOOKUP(D26,'GSM T4.2026'!$B$1:$B$996,'GSM T4.2026'!$C$1:$C$996)</f>
        <v>45233</v>
      </c>
      <c r="C26" s="142" t="str">
        <f t="array" ref="C26">XLOOKUP(F26,'GSM T4.2026'!D:D,'GSM T4.2026'!F:F)</f>
        <v>Nguyễn Thị Ngọc Giàu</v>
      </c>
      <c r="D26" s="143" t="str">
        <f t="array" ref="D26">XLOOKUP(F26,'GSM T4.2026'!$D:$D,'GSM T4.2026'!$B:$B)</f>
        <v>DS7</v>
      </c>
      <c r="E26" s="144" t="str">
        <f t="array" ref="E26">XLOOKUP(F26,'GSM T4.2026'!D:D,'GSM T4.2026'!$E:$E)</f>
        <v>HCM 031</v>
      </c>
      <c r="F26" s="145" t="s">
        <v>460</v>
      </c>
      <c r="G26" s="146">
        <v>45964.0</v>
      </c>
      <c r="H26" s="147">
        <f t="shared" si="9"/>
        <v>206</v>
      </c>
      <c r="I26" s="148">
        <v>46107.0</v>
      </c>
      <c r="J26" s="149">
        <f t="shared" si="11"/>
        <v>46105</v>
      </c>
      <c r="K26" s="150">
        <f t="shared" si="12"/>
        <v>46104</v>
      </c>
      <c r="L26" s="147" t="s">
        <v>461</v>
      </c>
      <c r="M26" s="14" t="s">
        <v>7</v>
      </c>
      <c r="N26" s="162" t="s">
        <v>462</v>
      </c>
      <c r="O26" s="152">
        <f t="shared" si="5"/>
        <v>0</v>
      </c>
      <c r="P26" s="153" t="s">
        <v>438</v>
      </c>
      <c r="Q26" s="151"/>
      <c r="R26" s="151"/>
      <c r="S26" s="151"/>
      <c r="T26" s="151"/>
      <c r="U26" s="151"/>
      <c r="V26" s="151"/>
      <c r="W26" s="154"/>
      <c r="X26" s="157"/>
      <c r="Y26" s="152">
        <f t="shared" si="6"/>
        <v>3</v>
      </c>
      <c r="Z26" s="152"/>
    </row>
    <row r="27" hidden="1">
      <c r="A27" s="140">
        <f t="shared" si="1"/>
        <v>18</v>
      </c>
      <c r="B27" s="141" t="str">
        <f t="array" ref="B27">XLOOKUP(D27,'GSM T4.2026'!$B$1:$B$996,'GSM T4.2026'!$C$1:$C$996)</f>
        <v>25/12/2025</v>
      </c>
      <c r="C27" s="142" t="str">
        <f t="array" ref="C27">XLOOKUP(F27,'GSM T4.2026'!D:D,'GSM T4.2026'!F:F)</f>
        <v>Nguyễn Thị Ngọc Giàu</v>
      </c>
      <c r="D27" s="143" t="str">
        <f t="array" ref="D27">XLOOKUP(F27,'GSM T4.2026'!$D:$D,'GSM T4.2026'!$B:$B)</f>
        <v>A139</v>
      </c>
      <c r="E27" s="144" t="str">
        <f t="array" ref="E27">XLOOKUP(F27,'GSM T4.2026'!D:D,'GSM T4.2026'!$E:$E)</f>
        <v>HCM 031</v>
      </c>
      <c r="F27" s="145" t="s">
        <v>463</v>
      </c>
      <c r="G27" s="147" t="s">
        <v>444</v>
      </c>
      <c r="H27" s="147" t="s">
        <v>444</v>
      </c>
      <c r="I27" s="148">
        <v>46108.0</v>
      </c>
      <c r="J27" s="149">
        <f t="shared" si="11"/>
        <v>46106</v>
      </c>
      <c r="K27" s="150">
        <f>I27-4</f>
        <v>46104</v>
      </c>
      <c r="L27" s="147" t="s">
        <v>464</v>
      </c>
      <c r="M27" s="14" t="s">
        <v>7</v>
      </c>
      <c r="N27" s="162" t="s">
        <v>465</v>
      </c>
      <c r="O27" s="152">
        <f t="shared" si="5"/>
        <v>0</v>
      </c>
      <c r="P27" s="153" t="s">
        <v>438</v>
      </c>
      <c r="Q27" s="151"/>
      <c r="R27" s="151"/>
      <c r="S27" s="151"/>
      <c r="T27" s="151"/>
      <c r="U27" s="151"/>
      <c r="V27" s="151"/>
      <c r="W27" s="154"/>
      <c r="X27" s="157"/>
      <c r="Y27" s="152">
        <f t="shared" si="6"/>
        <v>3</v>
      </c>
      <c r="Z27" s="152"/>
    </row>
    <row r="28" hidden="1">
      <c r="A28" s="140">
        <f t="shared" si="1"/>
        <v>19</v>
      </c>
      <c r="B28" s="141" t="str">
        <f t="array" ref="B28">XLOOKUP(D28,'GSM T4.2026'!$B$1:$B$996,'GSM T4.2026'!$C$1:$C$996)</f>
        <v>23/01/2021</v>
      </c>
      <c r="C28" s="142" t="str">
        <f t="array" ref="C28">XLOOKUP(F28,'GSM T4.2026'!D:D,'GSM T4.2026'!F:F)</f>
        <v>Huỳnh Thị Tuyết Nhi</v>
      </c>
      <c r="D28" s="143" t="str">
        <f t="array" ref="D28">XLOOKUP(F28,'GSM T4.2026'!$D:$D,'GSM T4.2026'!$B:$B)</f>
        <v>HTP</v>
      </c>
      <c r="E28" s="144" t="str">
        <f t="array" ref="E28">XLOOKUP(F28,'GSM T4.2026'!D:D,'GSM T4.2026'!$E:$E)</f>
        <v>HCM 002</v>
      </c>
      <c r="F28" s="145" t="s">
        <v>466</v>
      </c>
      <c r="G28" s="146">
        <v>45967.0</v>
      </c>
      <c r="H28" s="147">
        <f t="shared" ref="H28:H42" si="13">TODAY()-G28</f>
        <v>203</v>
      </c>
      <c r="I28" s="148">
        <v>46109.0</v>
      </c>
      <c r="J28" s="149">
        <f>I28-4</f>
        <v>46105</v>
      </c>
      <c r="K28" s="150">
        <f>I28-5</f>
        <v>46104</v>
      </c>
      <c r="L28" s="147" t="s">
        <v>461</v>
      </c>
      <c r="M28" s="14" t="s">
        <v>7</v>
      </c>
      <c r="N28" s="162" t="s">
        <v>467</v>
      </c>
      <c r="O28" s="152">
        <f t="shared" si="5"/>
        <v>0</v>
      </c>
      <c r="P28" s="153" t="s">
        <v>438</v>
      </c>
      <c r="Q28" s="151"/>
      <c r="R28" s="151"/>
      <c r="S28" s="142"/>
      <c r="T28" s="151"/>
      <c r="U28" s="151"/>
      <c r="V28" s="151"/>
      <c r="W28" s="157"/>
      <c r="X28" s="157"/>
      <c r="Y28" s="152">
        <f t="shared" si="6"/>
        <v>3</v>
      </c>
      <c r="Z28" s="152"/>
    </row>
    <row r="29" hidden="1">
      <c r="A29" s="140">
        <f t="shared" si="1"/>
        <v>20</v>
      </c>
      <c r="B29" s="141">
        <f t="array" ref="B29">XLOOKUP(D29,'GSM T4.2026'!$B$1:$B$996,'GSM T4.2026'!$C$1:$C$996)</f>
        <v>45933</v>
      </c>
      <c r="C29" s="142" t="str">
        <f t="array" ref="C29">XLOOKUP(F29,'GSM T4.2026'!D:D,'GSM T4.2026'!F:F)</f>
        <v>Lê Nguyễn Ngọc Phượng</v>
      </c>
      <c r="D29" s="143" t="str">
        <f t="array" ref="D29">XLOOKUP(F29,'GSM T4.2026'!$D:$D,'GSM T4.2026'!$B:$B)</f>
        <v>A113</v>
      </c>
      <c r="E29" s="144" t="str">
        <f t="array" ref="E29">XLOOKUP(F29,'GSM T4.2026'!D:D,'GSM T4.2026'!$E:$E)</f>
        <v>HCM 016</v>
      </c>
      <c r="F29" s="145" t="s">
        <v>468</v>
      </c>
      <c r="G29" s="146">
        <v>46019.0</v>
      </c>
      <c r="H29" s="147">
        <f t="shared" si="13"/>
        <v>151</v>
      </c>
      <c r="I29" s="148">
        <v>46109.0</v>
      </c>
      <c r="J29" s="149">
        <f t="shared" ref="J29:J30" si="14">I29-2</f>
        <v>46107</v>
      </c>
      <c r="K29" s="150">
        <f t="shared" ref="K29:K30" si="15">I29-4</f>
        <v>46105</v>
      </c>
      <c r="L29" s="147" t="s">
        <v>461</v>
      </c>
      <c r="M29" s="14" t="s">
        <v>7</v>
      </c>
      <c r="N29" s="162" t="s">
        <v>465</v>
      </c>
      <c r="O29" s="152">
        <f t="shared" si="5"/>
        <v>0</v>
      </c>
      <c r="P29" s="153" t="s">
        <v>438</v>
      </c>
      <c r="Q29" s="151"/>
      <c r="R29" s="151"/>
      <c r="S29" s="151"/>
      <c r="T29" s="151"/>
      <c r="U29" s="151"/>
      <c r="V29" s="151"/>
      <c r="W29" s="151"/>
      <c r="X29" s="151"/>
      <c r="Y29" s="152">
        <f t="shared" si="6"/>
        <v>3</v>
      </c>
      <c r="Z29" s="152"/>
    </row>
    <row r="30" hidden="1">
      <c r="A30" s="140">
        <f t="shared" si="1"/>
        <v>21</v>
      </c>
      <c r="B30" s="141" t="str">
        <f t="array" ref="B30">XLOOKUP(D30,'GSM T4.2026'!$B$1:$B$996,'GSM T4.2026'!$C$1:$C$996)</f>
        <v>30/05/2024</v>
      </c>
      <c r="C30" s="142" t="str">
        <f t="array" ref="C30">XLOOKUP(F30,'GSM T4.2026'!D:D,'GSM T4.2026'!F:F)</f>
        <v>Võ Minh Đạt</v>
      </c>
      <c r="D30" s="143" t="str">
        <f t="array" ref="D30">XLOOKUP(F30,'GSM T4.2026'!$D:$D,'GSM T4.2026'!$B:$B)</f>
        <v>NTO</v>
      </c>
      <c r="E30" s="144" t="str">
        <f t="array" ref="E30">XLOOKUP(F30,'GSM T4.2026'!D:D,'GSM T4.2026'!$E:$E)</f>
        <v>HCM 018</v>
      </c>
      <c r="F30" s="145" t="s">
        <v>469</v>
      </c>
      <c r="G30" s="146">
        <v>45755.0</v>
      </c>
      <c r="H30" s="147">
        <f t="shared" si="13"/>
        <v>415</v>
      </c>
      <c r="I30" s="148">
        <v>46110.0</v>
      </c>
      <c r="J30" s="149">
        <f t="shared" si="14"/>
        <v>46108</v>
      </c>
      <c r="K30" s="150">
        <f t="shared" si="15"/>
        <v>46106</v>
      </c>
      <c r="L30" s="147" t="s">
        <v>470</v>
      </c>
      <c r="M30" s="14" t="s">
        <v>7</v>
      </c>
      <c r="N30" s="162" t="s">
        <v>471</v>
      </c>
      <c r="O30" s="152">
        <f t="shared" si="5"/>
        <v>0</v>
      </c>
      <c r="P30" s="153" t="s">
        <v>438</v>
      </c>
      <c r="Q30" s="151"/>
      <c r="R30" s="151"/>
      <c r="S30" s="151"/>
      <c r="T30" s="151"/>
      <c r="U30" s="151"/>
      <c r="V30" s="151"/>
      <c r="W30" s="151"/>
      <c r="X30" s="151"/>
      <c r="Y30" s="152">
        <f t="shared" si="6"/>
        <v>3</v>
      </c>
      <c r="Z30" s="152"/>
    </row>
    <row r="31" hidden="1">
      <c r="A31" s="140">
        <f t="shared" si="1"/>
        <v>22</v>
      </c>
      <c r="B31" s="141" t="str">
        <f t="array" ref="B31">XLOOKUP(D31,'GSM T4.2026'!$B$1:$B$996,'GSM T4.2026'!$C$1:$C$996)</f>
        <v>18/03/2023</v>
      </c>
      <c r="C31" s="142" t="str">
        <f t="array" ref="C31">XLOOKUP(F31,'GSM T4.2026'!D:D,'GSM T4.2026'!F:F)</f>
        <v>Đào Hồng Hiện</v>
      </c>
      <c r="D31" s="143" t="str">
        <f t="array" ref="D31">XLOOKUP(F31,'GSM T4.2026'!$D:$D,'GSM T4.2026'!$B:$B)</f>
        <v>NDT</v>
      </c>
      <c r="E31" s="144" t="str">
        <f t="array" ref="E31">XLOOKUP(F31,'GSM T4.2026'!D:D,'GSM T4.2026'!$E:$E)</f>
        <v>HCM 035</v>
      </c>
      <c r="F31" s="145" t="s">
        <v>472</v>
      </c>
      <c r="G31" s="146">
        <v>45743.0</v>
      </c>
      <c r="H31" s="147">
        <f t="shared" si="13"/>
        <v>427</v>
      </c>
      <c r="I31" s="148">
        <v>46109.0</v>
      </c>
      <c r="J31" s="149">
        <f>I31-5</f>
        <v>46104</v>
      </c>
      <c r="K31" s="150">
        <f>I31-2</f>
        <v>46107</v>
      </c>
      <c r="L31" s="147" t="s">
        <v>473</v>
      </c>
      <c r="M31" s="14" t="s">
        <v>7</v>
      </c>
      <c r="N31" s="162" t="s">
        <v>474</v>
      </c>
      <c r="O31" s="152">
        <f t="shared" si="5"/>
        <v>0</v>
      </c>
      <c r="P31" s="153" t="s">
        <v>438</v>
      </c>
      <c r="Q31" s="157"/>
      <c r="R31" s="157"/>
      <c r="S31" s="157"/>
      <c r="T31" s="157"/>
      <c r="U31" s="160"/>
      <c r="V31" s="151"/>
      <c r="W31" s="158"/>
      <c r="X31" s="157"/>
      <c r="Y31" s="152">
        <f t="shared" si="6"/>
        <v>3</v>
      </c>
      <c r="Z31" s="164" t="s">
        <v>475</v>
      </c>
    </row>
    <row r="32" hidden="1">
      <c r="A32" s="140">
        <f t="shared" si="1"/>
        <v>23</v>
      </c>
      <c r="B32" s="141" t="str">
        <f t="array" ref="B32">XLOOKUP(D32,'GSM T4.2026'!$B$1:$B$996,'GSM T4.2026'!$C$1:$C$996)</f>
        <v>19/04/2025</v>
      </c>
      <c r="C32" s="142" t="str">
        <f t="array" ref="C32">XLOOKUP(F32,'GSM T4.2026'!D:D,'GSM T4.2026'!F:F)</f>
        <v>Võ Văn Phi Hùng</v>
      </c>
      <c r="D32" s="143" t="str">
        <f t="array" ref="D32">XLOOKUP(F32,'GSM T4.2026'!$D:$D,'GSM T4.2026'!$B:$B)</f>
        <v>PKD</v>
      </c>
      <c r="E32" s="144" t="str">
        <f t="array" ref="E32">XLOOKUP(F32,'GSM T4.2026'!D:D,'GSM T4.2026'!$E:$E)</f>
        <v>HCM 029</v>
      </c>
      <c r="F32" s="145" t="s">
        <v>476</v>
      </c>
      <c r="G32" s="146">
        <v>45971.0</v>
      </c>
      <c r="H32" s="147">
        <f t="shared" si="13"/>
        <v>199</v>
      </c>
      <c r="I32" s="148">
        <v>46110.0</v>
      </c>
      <c r="J32" s="149">
        <f>I32-2</f>
        <v>46108</v>
      </c>
      <c r="K32" s="150">
        <f>I32-3</f>
        <v>46107</v>
      </c>
      <c r="L32" s="147" t="s">
        <v>470</v>
      </c>
      <c r="M32" s="14" t="s">
        <v>7</v>
      </c>
      <c r="N32" s="162" t="s">
        <v>471</v>
      </c>
      <c r="O32" s="152">
        <f t="shared" si="5"/>
        <v>0</v>
      </c>
      <c r="P32" s="153" t="s">
        <v>438</v>
      </c>
      <c r="Q32" s="151"/>
      <c r="R32" s="151"/>
      <c r="S32" s="151"/>
      <c r="T32" s="151"/>
      <c r="U32" s="151"/>
      <c r="V32" s="151"/>
      <c r="W32" s="154"/>
      <c r="X32" s="157"/>
      <c r="Y32" s="152">
        <f t="shared" si="6"/>
        <v>3</v>
      </c>
      <c r="Z32" s="152"/>
    </row>
    <row r="33" hidden="1">
      <c r="A33" s="140">
        <f t="shared" si="1"/>
        <v>24</v>
      </c>
      <c r="B33" s="141" t="str">
        <f t="array" ref="B33">XLOOKUP(D33,'GSM T4.2026'!$B$1:$B$996,'GSM T4.2026'!$C$1:$C$996)</f>
        <v>14/12/2024</v>
      </c>
      <c r="C33" s="142" t="str">
        <f t="array" ref="C33">XLOOKUP(F33,'GSM T4.2026'!D:D,'GSM T4.2026'!F:F)</f>
        <v>Phạm Duy</v>
      </c>
      <c r="D33" s="143" t="str">
        <f t="array" ref="D33">XLOOKUP(F33,'GSM T4.2026'!$D:$D,'GSM T4.2026'!$B:$B)</f>
        <v>Q7R</v>
      </c>
      <c r="E33" s="144" t="str">
        <f t="array" ref="E33">XLOOKUP(F33,'GSM T4.2026'!D:D,'GSM T4.2026'!$E:$E)</f>
        <v>HCM 024</v>
      </c>
      <c r="F33" s="145" t="s">
        <v>477</v>
      </c>
      <c r="G33" s="146">
        <v>45761.0</v>
      </c>
      <c r="H33" s="147">
        <f t="shared" si="13"/>
        <v>409</v>
      </c>
      <c r="I33" s="148">
        <v>46111.0</v>
      </c>
      <c r="J33" s="149">
        <f>I33-3</f>
        <v>46108</v>
      </c>
      <c r="K33" s="150">
        <f>I33-4</f>
        <v>46107</v>
      </c>
      <c r="L33" s="147" t="s">
        <v>478</v>
      </c>
      <c r="M33" s="14" t="s">
        <v>7</v>
      </c>
      <c r="N33" s="159">
        <v>46026.0</v>
      </c>
      <c r="O33" s="152">
        <f t="shared" si="5"/>
        <v>0</v>
      </c>
      <c r="P33" s="153" t="s">
        <v>438</v>
      </c>
      <c r="Q33" s="151"/>
      <c r="R33" s="151"/>
      <c r="S33" s="151"/>
      <c r="T33" s="151"/>
      <c r="U33" s="151"/>
      <c r="V33" s="151"/>
      <c r="W33" s="151"/>
      <c r="X33" s="151"/>
      <c r="Y33" s="152">
        <f t="shared" si="6"/>
        <v>3</v>
      </c>
      <c r="Z33" s="152"/>
    </row>
    <row r="34" hidden="1">
      <c r="A34" s="140">
        <f t="shared" si="1"/>
        <v>25</v>
      </c>
      <c r="B34" s="141" t="str">
        <f t="array" ref="B34">XLOOKUP(D34,'GSM T4.2026'!$B$1:$B$996,'GSM T4.2026'!$C$1:$C$996)</f>
        <v>23/09/2022</v>
      </c>
      <c r="C34" s="142" t="str">
        <f t="array" ref="C34">XLOOKUP(F34,'GSM T4.2026'!D:D,'GSM T4.2026'!F:F)</f>
        <v>Lê Huỳnh Thiện</v>
      </c>
      <c r="D34" s="143" t="str">
        <f t="array" ref="D34">XLOOKUP(F34,'GSM T4.2026'!$D:$D,'GSM T4.2026'!$B:$B)</f>
        <v>PHI</v>
      </c>
      <c r="E34" s="144" t="str">
        <f t="array" ref="E34">XLOOKUP(F34,'GSM T4.2026'!D:D,'GSM T4.2026'!$E:$E)</f>
        <v>HCM 009</v>
      </c>
      <c r="F34" s="145" t="s">
        <v>479</v>
      </c>
      <c r="G34" s="146">
        <v>45994.0</v>
      </c>
      <c r="H34" s="147">
        <f t="shared" si="13"/>
        <v>176</v>
      </c>
      <c r="I34" s="148">
        <v>46113.0</v>
      </c>
      <c r="J34" s="149">
        <f t="shared" ref="J34:J45" si="16">I34-2</f>
        <v>46111</v>
      </c>
      <c r="K34" s="150">
        <f>I34-3</f>
        <v>46110</v>
      </c>
      <c r="L34" s="147" t="s">
        <v>480</v>
      </c>
      <c r="M34" s="14" t="s">
        <v>7</v>
      </c>
      <c r="N34" s="159" t="s">
        <v>481</v>
      </c>
      <c r="O34" s="152">
        <f t="shared" si="5"/>
        <v>0</v>
      </c>
      <c r="P34" s="153" t="s">
        <v>438</v>
      </c>
      <c r="Q34" s="151"/>
      <c r="R34" s="151"/>
      <c r="S34" s="151"/>
      <c r="T34" s="151"/>
      <c r="U34" s="151"/>
      <c r="V34" s="151"/>
      <c r="W34" s="158"/>
      <c r="X34" s="160"/>
      <c r="Y34" s="152">
        <f t="shared" si="6"/>
        <v>4</v>
      </c>
      <c r="Z34" s="165"/>
    </row>
    <row r="35" hidden="1">
      <c r="A35" s="140">
        <f t="shared" si="1"/>
        <v>26</v>
      </c>
      <c r="B35" s="141" t="str">
        <f t="array" ref="B35">XLOOKUP(D35,'GSM T4.2026'!$B$1:$B$996,'GSM T4.2026'!$C$1:$C$996)</f>
        <v>29/03/2025</v>
      </c>
      <c r="C35" s="142" t="str">
        <f t="array" ref="C35">XLOOKUP(F35,'GSM T4.2026'!D:D,'GSM T4.2026'!F:F)</f>
        <v>Nguyễn Thị Tuyết Trinh</v>
      </c>
      <c r="D35" s="143" t="str">
        <f t="array" ref="D35">XLOOKUP(F35,'GSM T4.2026'!$D:$D,'GSM T4.2026'!$B:$B)</f>
        <v>DMR</v>
      </c>
      <c r="E35" s="144" t="str">
        <f t="array" ref="E35">XLOOKUP(F35,'GSM T4.2026'!D:D,'GSM T4.2026'!$E:$E)</f>
        <v>HCM 011</v>
      </c>
      <c r="F35" s="145" t="s">
        <v>482</v>
      </c>
      <c r="G35" s="146">
        <v>45971.0</v>
      </c>
      <c r="H35" s="147">
        <f t="shared" si="13"/>
        <v>199</v>
      </c>
      <c r="I35" s="148">
        <v>46115.0</v>
      </c>
      <c r="J35" s="149">
        <f t="shared" si="16"/>
        <v>46113</v>
      </c>
      <c r="K35" s="150">
        <f>I35-4</f>
        <v>46111</v>
      </c>
      <c r="L35" s="147" t="s">
        <v>483</v>
      </c>
      <c r="M35" s="14" t="s">
        <v>7</v>
      </c>
      <c r="N35" s="159">
        <v>46116.0</v>
      </c>
      <c r="O35" s="152">
        <f t="shared" si="5"/>
        <v>0</v>
      </c>
      <c r="P35" s="153" t="s">
        <v>438</v>
      </c>
      <c r="Q35" s="151"/>
      <c r="R35" s="151"/>
      <c r="S35" s="151"/>
      <c r="T35" s="151"/>
      <c r="U35" s="151"/>
      <c r="V35" s="151"/>
      <c r="W35" s="158"/>
      <c r="X35" s="157"/>
      <c r="Y35" s="152">
        <f t="shared" si="6"/>
        <v>4</v>
      </c>
      <c r="Z35" s="165"/>
    </row>
    <row r="36" hidden="1">
      <c r="A36" s="140">
        <f t="shared" si="1"/>
        <v>27</v>
      </c>
      <c r="B36" s="141" t="str">
        <f t="array" ref="B36">XLOOKUP(D36,'GSM T4.2026'!$B$1:$B$996,'GSM T4.2026'!$C$1:$C$996)</f>
        <v>29/07/2022</v>
      </c>
      <c r="C36" s="142" t="str">
        <f t="array" ref="C36">XLOOKUP(F36,'GSM T4.2026'!D:D,'GSM T4.2026'!F:F)</f>
        <v>Trương Công Nhật Tùng</v>
      </c>
      <c r="D36" s="143" t="str">
        <f t="array" ref="D36">XLOOKUP(F36,'GSM T4.2026'!$D:$D,'GSM T4.2026'!$B:$B)</f>
        <v>KHI</v>
      </c>
      <c r="E36" s="144" t="str">
        <f t="array" ref="E36">XLOOKUP(F36,'GSM T4.2026'!D:D,'GSM T4.2026'!$E:$E)</f>
        <v>HCM 030</v>
      </c>
      <c r="F36" s="145" t="s">
        <v>484</v>
      </c>
      <c r="G36" s="146">
        <v>45966.0</v>
      </c>
      <c r="H36" s="147">
        <f t="shared" si="13"/>
        <v>204</v>
      </c>
      <c r="I36" s="148">
        <v>46115.0</v>
      </c>
      <c r="J36" s="149">
        <f t="shared" si="16"/>
        <v>46113</v>
      </c>
      <c r="K36" s="150">
        <f>I36-3</f>
        <v>46112</v>
      </c>
      <c r="L36" s="147" t="s">
        <v>485</v>
      </c>
      <c r="M36" s="14" t="s">
        <v>7</v>
      </c>
      <c r="N36" s="159">
        <v>46146.0</v>
      </c>
      <c r="O36" s="152">
        <f t="shared" si="5"/>
        <v>0</v>
      </c>
      <c r="P36" s="153" t="s">
        <v>438</v>
      </c>
      <c r="Q36" s="151"/>
      <c r="R36" s="151"/>
      <c r="S36" s="151"/>
      <c r="T36" s="151"/>
      <c r="U36" s="151"/>
      <c r="V36" s="151"/>
      <c r="W36" s="151"/>
      <c r="X36" s="151"/>
      <c r="Y36" s="152">
        <f t="shared" si="6"/>
        <v>4</v>
      </c>
      <c r="Z36" s="165"/>
    </row>
    <row r="37" hidden="1">
      <c r="A37" s="140">
        <f t="shared" si="1"/>
        <v>28</v>
      </c>
      <c r="B37" s="141">
        <f t="array" ref="B37">XLOOKUP(D37,'GSM T4.2026'!$B$1:$B$996,'GSM T4.2026'!$C$1:$C$996)</f>
        <v>45758</v>
      </c>
      <c r="C37" s="142" t="str">
        <f t="array" ref="C37">XLOOKUP(F37,'GSM T4.2026'!D:D,'GSM T4.2026'!F:F)</f>
        <v>Đào Hồng Hiện</v>
      </c>
      <c r="D37" s="143" t="str">
        <f t="array" ref="D37">XLOOKUP(F37,'GSM T4.2026'!$D:$D,'GSM T4.2026'!$B:$B)</f>
        <v>LVH</v>
      </c>
      <c r="E37" s="144" t="str">
        <f t="array" ref="E37">XLOOKUP(F37,'GSM T4.2026'!D:D,'GSM T4.2026'!$E:$E)</f>
        <v>HCM 035</v>
      </c>
      <c r="F37" s="145" t="s">
        <v>486</v>
      </c>
      <c r="G37" s="146">
        <v>45831.0</v>
      </c>
      <c r="H37" s="147">
        <f t="shared" si="13"/>
        <v>339</v>
      </c>
      <c r="I37" s="148">
        <v>46115.0</v>
      </c>
      <c r="J37" s="149">
        <f t="shared" si="16"/>
        <v>46113</v>
      </c>
      <c r="K37" s="150">
        <f>I37-2</f>
        <v>46113</v>
      </c>
      <c r="L37" s="147" t="s">
        <v>485</v>
      </c>
      <c r="M37" s="14" t="s">
        <v>7</v>
      </c>
      <c r="N37" s="159">
        <v>46146.0</v>
      </c>
      <c r="O37" s="152">
        <f t="shared" si="5"/>
        <v>0</v>
      </c>
      <c r="P37" s="153" t="s">
        <v>438</v>
      </c>
      <c r="Q37" s="151"/>
      <c r="R37" s="151"/>
      <c r="S37" s="151"/>
      <c r="T37" s="151"/>
      <c r="U37" s="151"/>
      <c r="V37" s="151"/>
      <c r="W37" s="154"/>
      <c r="X37" s="166"/>
      <c r="Y37" s="152">
        <f t="shared" si="6"/>
        <v>4</v>
      </c>
      <c r="Z37" s="165"/>
    </row>
    <row r="38" hidden="1">
      <c r="A38" s="140">
        <f t="shared" si="1"/>
        <v>29</v>
      </c>
      <c r="B38" s="141">
        <f t="array" ref="B38">XLOOKUP(D38,'GSM T4.2026'!$B$1:$B$996,'GSM T4.2026'!$C$1:$C$996)</f>
        <v>45114</v>
      </c>
      <c r="C38" s="142" t="str">
        <f t="array" ref="C38">XLOOKUP(F38,'GSM T4.2026'!D:D,'GSM T4.2026'!F:F)</f>
        <v>Hồng Trọng Nghĩa</v>
      </c>
      <c r="D38" s="143" t="str">
        <f t="array" ref="D38">XLOOKUP(F38,'GSM T4.2026'!$D:$D,'GSM T4.2026'!$B:$B)</f>
        <v>Q50</v>
      </c>
      <c r="E38" s="144" t="str">
        <f t="array" ref="E38">XLOOKUP(F38,'GSM T4.2026'!D:D,'GSM T4.2026'!$E:$E)</f>
        <v>HCM 022</v>
      </c>
      <c r="F38" s="145" t="s">
        <v>487</v>
      </c>
      <c r="G38" s="146">
        <v>45952.0</v>
      </c>
      <c r="H38" s="147">
        <f t="shared" si="13"/>
        <v>218</v>
      </c>
      <c r="I38" s="148">
        <v>46116.0</v>
      </c>
      <c r="J38" s="149">
        <f t="shared" si="16"/>
        <v>46114</v>
      </c>
      <c r="K38" s="150">
        <f t="shared" ref="K38:K43" si="17">I38-3</f>
        <v>46113</v>
      </c>
      <c r="L38" s="147" t="s">
        <v>488</v>
      </c>
      <c r="M38" s="14" t="s">
        <v>7</v>
      </c>
      <c r="N38" s="159">
        <v>46026.0</v>
      </c>
      <c r="O38" s="152">
        <f t="shared" si="5"/>
        <v>0</v>
      </c>
      <c r="P38" s="153" t="s">
        <v>438</v>
      </c>
      <c r="Q38" s="151"/>
      <c r="R38" s="151"/>
      <c r="S38" s="151"/>
      <c r="T38" s="151"/>
      <c r="U38" s="151"/>
      <c r="V38" s="151"/>
      <c r="W38" s="158"/>
      <c r="X38" s="157"/>
      <c r="Y38" s="152">
        <f t="shared" si="6"/>
        <v>4</v>
      </c>
      <c r="Z38" s="165"/>
    </row>
    <row r="39">
      <c r="A39" s="140">
        <f t="shared" si="1"/>
        <v>30</v>
      </c>
      <c r="B39" s="141" t="str">
        <f t="array" ref="B39">XLOOKUP(D39,'GSM T4.2026'!$B$1:$B$996,'GSM T4.2026'!$C$1:$C$996)</f>
        <v>28/12/2024</v>
      </c>
      <c r="C39" s="142" t="str">
        <f t="array" ref="C39">XLOOKUP(F39,'GSM T4.2026'!D:D,'GSM T4.2026'!F:F)</f>
        <v>Nguyễn Thị Tuyết Trinh</v>
      </c>
      <c r="D39" s="143" t="str">
        <f t="array" ref="D39">XLOOKUP(F39,'GSM T4.2026'!$D:$D,'GSM T4.2026'!$B:$B)</f>
        <v>EH3</v>
      </c>
      <c r="E39" s="144" t="str">
        <f t="array" ref="E39">XLOOKUP(F39,'GSM T4.2026'!D:D,'GSM T4.2026'!$E:$E)</f>
        <v>HCM 011</v>
      </c>
      <c r="F39" s="145" t="s">
        <v>489</v>
      </c>
      <c r="G39" s="146">
        <v>45784.0</v>
      </c>
      <c r="H39" s="147">
        <f t="shared" si="13"/>
        <v>386</v>
      </c>
      <c r="I39" s="148">
        <v>46146.0</v>
      </c>
      <c r="J39" s="149">
        <f t="shared" si="16"/>
        <v>46144</v>
      </c>
      <c r="K39" s="150">
        <f t="shared" si="17"/>
        <v>46143</v>
      </c>
      <c r="L39" s="147" t="s">
        <v>490</v>
      </c>
      <c r="M39" s="14" t="s">
        <v>7</v>
      </c>
      <c r="N39" s="159">
        <v>46178.0</v>
      </c>
      <c r="O39" s="152">
        <f t="shared" si="5"/>
        <v>0</v>
      </c>
      <c r="P39" s="153" t="s">
        <v>438</v>
      </c>
      <c r="Q39" s="151"/>
      <c r="R39" s="151"/>
      <c r="S39" s="151"/>
      <c r="T39" s="151"/>
      <c r="U39" s="151"/>
      <c r="V39" s="167"/>
      <c r="W39" s="154"/>
      <c r="X39" s="157"/>
      <c r="Y39" s="152">
        <f t="shared" si="6"/>
        <v>5</v>
      </c>
      <c r="Z39" s="152"/>
    </row>
    <row r="40" hidden="1">
      <c r="A40" s="140">
        <f t="shared" si="1"/>
        <v>31</v>
      </c>
      <c r="B40" s="141" t="str">
        <f t="array" ref="B40">XLOOKUP(D40,'GSM T4.2026'!$B$1:$B$996,'GSM T4.2026'!$C$1:$C$996)</f>
        <v>19/01/2024</v>
      </c>
      <c r="C40" s="142" t="str">
        <f t="array" ref="C40">XLOOKUP(F40,'GSM T4.2026'!D:D,'GSM T4.2026'!F:F)</f>
        <v>Trần Văn Hiếu</v>
      </c>
      <c r="D40" s="143" t="str">
        <f t="array" ref="D40">XLOOKUP(F40,'GSM T4.2026'!$D:$D,'GSM T4.2026'!$B:$B)</f>
        <v>VLA</v>
      </c>
      <c r="E40" s="144" t="str">
        <f t="array" ref="E40">XLOOKUP(F40,'GSM T4.2026'!D:D,'GSM T4.2026'!$E:$E)</f>
        <v>HCM 014</v>
      </c>
      <c r="F40" s="145" t="s">
        <v>491</v>
      </c>
      <c r="G40" s="146">
        <v>45795.0</v>
      </c>
      <c r="H40" s="147">
        <f t="shared" si="13"/>
        <v>375</v>
      </c>
      <c r="I40" s="148">
        <v>46116.0</v>
      </c>
      <c r="J40" s="149">
        <f t="shared" si="16"/>
        <v>46114</v>
      </c>
      <c r="K40" s="150">
        <f t="shared" si="17"/>
        <v>46113</v>
      </c>
      <c r="L40" s="147" t="s">
        <v>492</v>
      </c>
      <c r="M40" s="14" t="s">
        <v>7</v>
      </c>
      <c r="N40" s="159">
        <v>46026.0</v>
      </c>
      <c r="O40" s="152">
        <f t="shared" si="5"/>
        <v>0</v>
      </c>
      <c r="P40" s="153" t="s">
        <v>438</v>
      </c>
      <c r="Q40" s="154"/>
      <c r="R40" s="154"/>
      <c r="S40" s="154"/>
      <c r="T40" s="154"/>
      <c r="U40" s="154"/>
      <c r="V40" s="154"/>
      <c r="W40" s="154"/>
      <c r="X40" s="154"/>
      <c r="Y40" s="152">
        <f t="shared" si="6"/>
        <v>4</v>
      </c>
      <c r="Z40" s="165"/>
    </row>
    <row r="41" hidden="1">
      <c r="A41" s="140">
        <f t="shared" si="1"/>
        <v>32</v>
      </c>
      <c r="B41" s="141" t="str">
        <f t="array" ref="B41">XLOOKUP(D41,'GSM T4.2026'!$B$1:$B$996,'GSM T4.2026'!$C$1:$C$996)</f>
        <v>30/05/2025</v>
      </c>
      <c r="C41" s="142" t="str">
        <f t="array" ref="C41">XLOOKUP(F41,'GSM T4.2026'!D:D,'GSM T4.2026'!F:F)</f>
        <v>Lê Thị Bích Liểu</v>
      </c>
      <c r="D41" s="143" t="str">
        <f t="array" ref="D41">XLOOKUP(F41,'GSM T4.2026'!$D:$D,'GSM T4.2026'!$B:$B)</f>
        <v>VH6</v>
      </c>
      <c r="E41" s="144" t="str">
        <f t="array" ref="E41">XLOOKUP(F41,'GSM T4.2026'!D:D,'GSM T4.2026'!$E:$E)</f>
        <v>HCM 034</v>
      </c>
      <c r="F41" s="145" t="s">
        <v>493</v>
      </c>
      <c r="G41" s="146">
        <v>45946.0</v>
      </c>
      <c r="H41" s="147">
        <f t="shared" si="13"/>
        <v>224</v>
      </c>
      <c r="I41" s="148">
        <v>46116.0</v>
      </c>
      <c r="J41" s="149">
        <f t="shared" si="16"/>
        <v>46114</v>
      </c>
      <c r="K41" s="150">
        <f t="shared" si="17"/>
        <v>46113</v>
      </c>
      <c r="L41" s="147" t="s">
        <v>492</v>
      </c>
      <c r="M41" s="14" t="s">
        <v>7</v>
      </c>
      <c r="N41" s="159">
        <v>46026.0</v>
      </c>
      <c r="O41" s="152">
        <f t="shared" si="5"/>
        <v>0</v>
      </c>
      <c r="P41" s="153" t="s">
        <v>438</v>
      </c>
      <c r="Q41" s="151"/>
      <c r="R41" s="151"/>
      <c r="S41" s="151"/>
      <c r="T41" s="151"/>
      <c r="U41" s="151"/>
      <c r="V41" s="151"/>
      <c r="W41" s="154"/>
      <c r="X41" s="160"/>
      <c r="Y41" s="152">
        <f t="shared" si="6"/>
        <v>4</v>
      </c>
      <c r="Z41" s="165"/>
    </row>
    <row r="42" hidden="1">
      <c r="A42" s="140">
        <f t="shared" si="1"/>
        <v>33</v>
      </c>
      <c r="B42" s="141" t="str">
        <f t="array" ref="B42">XLOOKUP(D42,'GSM T4.2026'!$B$1:$B$996,'GSM T4.2026'!$C$1:$C$996)</f>
        <v>19/10/2024</v>
      </c>
      <c r="C42" s="142" t="str">
        <f t="array" ref="C42">XLOOKUP(F42,'GSM T4.2026'!D:D,'GSM T4.2026'!F:F)</f>
        <v>Phạm Hữu Chương</v>
      </c>
      <c r="D42" s="143" t="str">
        <f t="array" ref="D42">XLOOKUP(F42,'GSM T4.2026'!$D:$D,'GSM T4.2026'!$B:$B)</f>
        <v>AV4</v>
      </c>
      <c r="E42" s="144" t="str">
        <f t="array" ref="E42">XLOOKUP(F42,'GSM T4.2026'!D:D,'GSM T4.2026'!$E:$E)</f>
        <v>HCM 020</v>
      </c>
      <c r="F42" s="145" t="s">
        <v>494</v>
      </c>
      <c r="G42" s="146">
        <v>45774.0</v>
      </c>
      <c r="H42" s="147">
        <f t="shared" si="13"/>
        <v>396</v>
      </c>
      <c r="I42" s="148">
        <v>46116.0</v>
      </c>
      <c r="J42" s="149">
        <f t="shared" si="16"/>
        <v>46114</v>
      </c>
      <c r="K42" s="150">
        <f t="shared" si="17"/>
        <v>46113</v>
      </c>
      <c r="L42" s="147" t="s">
        <v>485</v>
      </c>
      <c r="M42" s="14" t="s">
        <v>7</v>
      </c>
      <c r="N42" s="159">
        <v>46146.0</v>
      </c>
      <c r="O42" s="152">
        <f t="shared" si="5"/>
        <v>0</v>
      </c>
      <c r="P42" s="153" t="s">
        <v>438</v>
      </c>
      <c r="Q42" s="151"/>
      <c r="R42" s="151"/>
      <c r="S42" s="151"/>
      <c r="T42" s="151"/>
      <c r="U42" s="151"/>
      <c r="V42" s="151"/>
      <c r="W42" s="158"/>
      <c r="X42" s="157"/>
      <c r="Y42" s="152">
        <f t="shared" si="6"/>
        <v>4</v>
      </c>
      <c r="Z42" s="165"/>
    </row>
    <row r="43" hidden="1">
      <c r="A43" s="140">
        <f t="shared" si="1"/>
        <v>34</v>
      </c>
      <c r="B43" s="141" t="str">
        <f t="array" ref="B43">XLOOKUP(D43,'GSM T4.2026'!$B$1:$B$996,'GSM T4.2026'!$C$1:$C$996)</f>
        <v>30/01/2026</v>
      </c>
      <c r="C43" s="142" t="str">
        <f t="array" ref="C43">XLOOKUP(F43,'GSM T4.2026'!D:D,'GSM T4.2026'!F:F)</f>
        <v>Hứa Thái Hiển</v>
      </c>
      <c r="D43" s="168" t="str">
        <f t="array" ref="D43">XLOOKUP(F43,'GSM T4.2026'!$D:$D,'GSM T4.2026'!$B:$B)</f>
        <v>A147</v>
      </c>
      <c r="E43" s="144" t="str">
        <f t="array" ref="E43">XLOOKUP(F43,'GSM T4.2026'!D:D,'GSM T4.2026'!$E:$E)</f>
        <v>HCM 023</v>
      </c>
      <c r="F43" s="145" t="s">
        <v>495</v>
      </c>
      <c r="G43" s="147" t="s">
        <v>444</v>
      </c>
      <c r="H43" s="147" t="s">
        <v>444</v>
      </c>
      <c r="I43" s="148">
        <v>46116.0</v>
      </c>
      <c r="J43" s="149">
        <f t="shared" si="16"/>
        <v>46114</v>
      </c>
      <c r="K43" s="150">
        <f t="shared" si="17"/>
        <v>46113</v>
      </c>
      <c r="L43" s="147" t="s">
        <v>492</v>
      </c>
      <c r="M43" s="14" t="s">
        <v>7</v>
      </c>
      <c r="N43" s="159">
        <v>46269.0</v>
      </c>
      <c r="O43" s="152">
        <f t="shared" si="5"/>
        <v>0</v>
      </c>
      <c r="P43" s="153" t="s">
        <v>438</v>
      </c>
      <c r="Q43" s="145"/>
      <c r="R43" s="145"/>
      <c r="S43" s="145"/>
      <c r="T43" s="145"/>
      <c r="U43" s="145"/>
      <c r="V43" s="145"/>
      <c r="W43" s="145"/>
      <c r="Y43" s="152">
        <f t="shared" si="6"/>
        <v>4</v>
      </c>
      <c r="Z43" s="164" t="s">
        <v>496</v>
      </c>
    </row>
    <row r="44" hidden="1">
      <c r="A44" s="140">
        <f t="shared" si="1"/>
        <v>35</v>
      </c>
      <c r="B44" s="141" t="str">
        <f t="array" ref="B44">XLOOKUP(D44,'GSM T4.2026'!$B$1:$B$996,'GSM T4.2026'!$C$1:$C$996)</f>
        <v>21/07/2022</v>
      </c>
      <c r="C44" s="142" t="str">
        <f t="array" ref="C44">XLOOKUP(F44,'GSM T4.2026'!D:D,'GSM T4.2026'!F:F)</f>
        <v>Lê Ngọc Thảo</v>
      </c>
      <c r="D44" s="143" t="str">
        <f t="array" ref="D44">XLOOKUP(F44,'GSM T4.2026'!$D:$D,'GSM T4.2026'!$B:$B)</f>
        <v>LVT</v>
      </c>
      <c r="E44" s="144" t="str">
        <f t="array" ref="E44">XLOOKUP(F44,'GSM T4.2026'!D:D,'GSM T4.2026'!$E:$E)</f>
        <v>HCM 008</v>
      </c>
      <c r="F44" s="145" t="s">
        <v>497</v>
      </c>
      <c r="G44" s="146">
        <v>45790.0</v>
      </c>
      <c r="H44" s="147">
        <f t="shared" ref="H44:H63" si="18">TODAY()-G44</f>
        <v>380</v>
      </c>
      <c r="I44" s="148">
        <v>46117.0</v>
      </c>
      <c r="J44" s="149">
        <f t="shared" si="16"/>
        <v>46115</v>
      </c>
      <c r="K44" s="150">
        <f>I44-4</f>
        <v>46113</v>
      </c>
      <c r="L44" s="147" t="s">
        <v>498</v>
      </c>
      <c r="M44" s="14" t="s">
        <v>7</v>
      </c>
      <c r="N44" s="159">
        <v>46238.0</v>
      </c>
      <c r="O44" s="152">
        <f t="shared" si="5"/>
        <v>0</v>
      </c>
      <c r="P44" s="153" t="s">
        <v>499</v>
      </c>
      <c r="Q44" s="151"/>
      <c r="R44" s="151"/>
      <c r="S44" s="151"/>
      <c r="T44" s="151"/>
      <c r="U44" s="151"/>
      <c r="V44" s="151"/>
      <c r="W44" s="158"/>
      <c r="X44" s="160"/>
      <c r="Y44" s="152">
        <f t="shared" si="6"/>
        <v>4</v>
      </c>
      <c r="Z44" s="165"/>
    </row>
    <row r="45" hidden="1">
      <c r="A45" s="140">
        <f t="shared" si="1"/>
        <v>36</v>
      </c>
      <c r="B45" s="141" t="str">
        <f t="array" ref="B45">XLOOKUP(D45,'GSM T4.2026'!$B$1:$B$996,'GSM T4.2026'!$C$1:$C$996)</f>
        <v>15/11/2025</v>
      </c>
      <c r="C45" s="142" t="str">
        <f t="array" ref="C45">XLOOKUP(F45,'GSM T4.2026'!D:D,'GSM T4.2026'!F:F)</f>
        <v>Hồ Xuân Thịnh</v>
      </c>
      <c r="D45" s="143" t="str">
        <f t="array" ref="D45">XLOOKUP(F45,'GSM T4.2026'!$D:$D,'GSM T4.2026'!$B:$B)</f>
        <v>A125</v>
      </c>
      <c r="E45" s="144" t="str">
        <f t="array" ref="E45">XLOOKUP(F45,'GSM T4.2026'!D:D,'GSM T4.2026'!$E:$E)</f>
        <v>HCM 021</v>
      </c>
      <c r="F45" s="169" t="s">
        <v>434</v>
      </c>
      <c r="G45" s="146">
        <v>46009.0</v>
      </c>
      <c r="H45" s="147">
        <f t="shared" si="18"/>
        <v>161</v>
      </c>
      <c r="I45" s="148">
        <v>46118.0</v>
      </c>
      <c r="J45" s="149">
        <f t="shared" si="16"/>
        <v>46116</v>
      </c>
      <c r="K45" s="150">
        <f>I45-5</f>
        <v>46113</v>
      </c>
      <c r="L45" s="147" t="s">
        <v>498</v>
      </c>
      <c r="M45" s="14" t="s">
        <v>7</v>
      </c>
      <c r="N45" s="159">
        <v>46330.0</v>
      </c>
      <c r="O45" s="152">
        <f t="shared" si="5"/>
        <v>0</v>
      </c>
      <c r="P45" s="153" t="s">
        <v>438</v>
      </c>
      <c r="Q45" s="151"/>
      <c r="R45" s="151"/>
      <c r="S45" s="151"/>
      <c r="T45" s="151"/>
      <c r="U45" s="151"/>
      <c r="V45" s="151"/>
      <c r="W45" s="154"/>
      <c r="X45" s="157"/>
      <c r="Y45" s="152">
        <f t="shared" si="6"/>
        <v>4</v>
      </c>
      <c r="Z45" s="165"/>
    </row>
    <row r="46" hidden="1">
      <c r="A46" s="140">
        <f t="shared" si="1"/>
        <v>37</v>
      </c>
      <c r="B46" s="141">
        <f t="array" ref="B46">XLOOKUP(D46,'GSM T4.2026'!$B$1:$B$996,'GSM T4.2026'!$C$1:$C$996)</f>
        <v>44688</v>
      </c>
      <c r="C46" s="142" t="str">
        <f t="array" ref="C46">XLOOKUP(F46,'GSM T4.2026'!D:D,'GSM T4.2026'!F:F)</f>
        <v>Huỳnh Ngọc Phương</v>
      </c>
      <c r="D46" s="143" t="str">
        <f t="array" ref="D46">XLOOKUP(F46,'GSM T4.2026'!$D:$D,'GSM T4.2026'!$B:$B)</f>
        <v>NKM</v>
      </c>
      <c r="E46" s="144" t="str">
        <f t="array" ref="E46">XLOOKUP(F46,'GSM T4.2026'!D:D,'GSM T4.2026'!$E:$E)</f>
        <v>HCM 033</v>
      </c>
      <c r="F46" s="145" t="s">
        <v>500</v>
      </c>
      <c r="G46" s="146">
        <v>46006.0</v>
      </c>
      <c r="H46" s="147">
        <f t="shared" si="18"/>
        <v>164</v>
      </c>
      <c r="I46" s="148">
        <v>46118.0</v>
      </c>
      <c r="J46" s="149">
        <f t="shared" ref="J46:J47" si="19">I46-3</f>
        <v>46115</v>
      </c>
      <c r="K46" s="150">
        <f t="shared" ref="K46:K47" si="20">I46-4</f>
        <v>46114</v>
      </c>
      <c r="L46" s="147" t="s">
        <v>501</v>
      </c>
      <c r="M46" s="14" t="s">
        <v>7</v>
      </c>
      <c r="N46" s="159">
        <v>46238.0</v>
      </c>
      <c r="O46" s="152">
        <f t="shared" si="5"/>
        <v>0</v>
      </c>
      <c r="P46" s="153" t="s">
        <v>438</v>
      </c>
      <c r="Q46" s="151"/>
      <c r="R46" s="151"/>
      <c r="S46" s="151"/>
      <c r="T46" s="151"/>
      <c r="U46" s="151"/>
      <c r="V46" s="151"/>
      <c r="W46" s="158"/>
      <c r="X46" s="160"/>
      <c r="Y46" s="152">
        <f t="shared" si="6"/>
        <v>4</v>
      </c>
      <c r="Z46" s="165"/>
    </row>
    <row r="47" hidden="1">
      <c r="A47" s="140">
        <f t="shared" si="1"/>
        <v>38</v>
      </c>
      <c r="B47" s="141" t="str">
        <f t="array" ref="B47">XLOOKUP(D47,'GSM T4.2026'!$B$1:$B$996,'GSM T4.2026'!$C$1:$C$996)</f>
        <v>21/03/2025</v>
      </c>
      <c r="C47" s="142" t="str">
        <f t="array" ref="C47">XLOOKUP(F47,'GSM T4.2026'!D:D,'GSM T4.2026'!F:F)</f>
        <v>Nguyễn Thị Tuyết Trinh</v>
      </c>
      <c r="D47" s="143" t="str">
        <f t="array" ref="D47">XLOOKUP(F47,'GSM T4.2026'!$D:$D,'GSM T4.2026'!$B:$B)</f>
        <v>HNN</v>
      </c>
      <c r="E47" s="144" t="str">
        <f t="array" ref="E47">XLOOKUP(F47,'GSM T4.2026'!D:D,'GSM T4.2026'!$E:$E)</f>
        <v>HCM 011</v>
      </c>
      <c r="F47" s="145" t="s">
        <v>502</v>
      </c>
      <c r="G47" s="146">
        <v>45798.0</v>
      </c>
      <c r="H47" s="147">
        <f t="shared" si="18"/>
        <v>372</v>
      </c>
      <c r="I47" s="148">
        <v>46118.0</v>
      </c>
      <c r="J47" s="149">
        <f t="shared" si="19"/>
        <v>46115</v>
      </c>
      <c r="K47" s="150">
        <f t="shared" si="20"/>
        <v>46114</v>
      </c>
      <c r="L47" s="147" t="s">
        <v>498</v>
      </c>
      <c r="M47" s="14" t="s">
        <v>7</v>
      </c>
      <c r="N47" s="159">
        <v>46116.0</v>
      </c>
      <c r="O47" s="152">
        <f t="shared" si="5"/>
        <v>0</v>
      </c>
      <c r="P47" s="153" t="s">
        <v>438</v>
      </c>
      <c r="Q47" s="154"/>
      <c r="R47" s="154"/>
      <c r="S47" s="154"/>
      <c r="T47" s="154"/>
      <c r="U47" s="154"/>
      <c r="V47" s="154"/>
      <c r="W47" s="154"/>
      <c r="X47" s="154"/>
      <c r="Y47" s="152">
        <f t="shared" si="6"/>
        <v>4</v>
      </c>
      <c r="Z47" s="165"/>
    </row>
    <row r="48" hidden="1">
      <c r="A48" s="140">
        <f t="shared" si="1"/>
        <v>39</v>
      </c>
      <c r="B48" s="141" t="str">
        <f t="array" ref="B48">XLOOKUP(D48,'GSM T4.2026'!$B$1:$B$996,'GSM T4.2026'!$C$1:$C$996)</f>
        <v>21/12/2024</v>
      </c>
      <c r="C48" s="142" t="str">
        <f t="array" ref="C48">XLOOKUP(F48,'GSM T4.2026'!D:D,'GSM T4.2026'!F:F)</f>
        <v>Đặng Đăng Khoa</v>
      </c>
      <c r="D48" s="143" t="str">
        <f t="array" ref="D48">XLOOKUP(F48,'GSM T4.2026'!$D:$D,'GSM T4.2026'!$B:$B)</f>
        <v>HNG</v>
      </c>
      <c r="E48" s="144" t="str">
        <f t="array" ref="E48">XLOOKUP(F48,'GSM T4.2026'!D:D,'GSM T4.2026'!$E:$E)</f>
        <v>HCM 036</v>
      </c>
      <c r="F48" s="145" t="s">
        <v>503</v>
      </c>
      <c r="G48" s="146">
        <v>45756.0</v>
      </c>
      <c r="H48" s="147">
        <f t="shared" si="18"/>
        <v>414</v>
      </c>
      <c r="I48" s="148">
        <v>46118.0</v>
      </c>
      <c r="J48" s="149">
        <f t="shared" ref="J48:J49" si="21">I48-2</f>
        <v>46116</v>
      </c>
      <c r="K48" s="150">
        <f>I48-3</f>
        <v>46115</v>
      </c>
      <c r="L48" s="147" t="s">
        <v>504</v>
      </c>
      <c r="M48" s="14" t="s">
        <v>7</v>
      </c>
      <c r="N48" s="159">
        <v>46026.0</v>
      </c>
      <c r="O48" s="152">
        <f t="shared" si="5"/>
        <v>0</v>
      </c>
      <c r="P48" s="153" t="s">
        <v>438</v>
      </c>
      <c r="Q48" s="157"/>
      <c r="R48" s="157"/>
      <c r="S48" s="157"/>
      <c r="T48" s="157"/>
      <c r="U48" s="157"/>
      <c r="V48" s="157"/>
      <c r="W48" s="158"/>
      <c r="X48" s="157"/>
      <c r="Y48" s="152">
        <f t="shared" si="6"/>
        <v>4</v>
      </c>
      <c r="Z48" s="165"/>
    </row>
    <row r="49" hidden="1">
      <c r="A49" s="140">
        <f t="shared" si="1"/>
        <v>40</v>
      </c>
      <c r="B49" s="141">
        <f t="array" ref="B49">XLOOKUP(D49,'GSM T4.2026'!$B$1:$B$996,'GSM T4.2026'!$C$1:$C$996)</f>
        <v>45577</v>
      </c>
      <c r="C49" s="142" t="str">
        <f t="array" ref="C49">XLOOKUP(F49,'GSM T4.2026'!D:D,'GSM T4.2026'!F:F)</f>
        <v>Võ Minh Đạt</v>
      </c>
      <c r="D49" s="143" t="str">
        <f t="array" ref="D49">XLOOKUP(F49,'GSM T4.2026'!$D:$D,'GSM T4.2026'!$B:$B)</f>
        <v>ACU</v>
      </c>
      <c r="E49" s="144" t="str">
        <f t="array" ref="E49">XLOOKUP(F49,'GSM T4.2026'!D:D,'GSM T4.2026'!$E:$E)</f>
        <v>HCM 018</v>
      </c>
      <c r="F49" s="145" t="s">
        <v>505</v>
      </c>
      <c r="G49" s="146">
        <v>45757.0</v>
      </c>
      <c r="H49" s="147">
        <f t="shared" si="18"/>
        <v>413</v>
      </c>
      <c r="I49" s="148">
        <v>46119.0</v>
      </c>
      <c r="J49" s="149">
        <f t="shared" si="21"/>
        <v>46117</v>
      </c>
      <c r="K49" s="150">
        <f>I49-4</f>
        <v>46115</v>
      </c>
      <c r="L49" s="147" t="s">
        <v>506</v>
      </c>
      <c r="M49" s="14" t="s">
        <v>7</v>
      </c>
      <c r="N49" s="159">
        <v>46026.0</v>
      </c>
      <c r="O49" s="152">
        <f t="shared" si="5"/>
        <v>0</v>
      </c>
      <c r="P49" s="153" t="s">
        <v>438</v>
      </c>
      <c r="Q49" s="151"/>
      <c r="R49" s="151"/>
      <c r="S49" s="142"/>
      <c r="T49" s="151"/>
      <c r="U49" s="151"/>
      <c r="V49" s="151"/>
      <c r="W49" s="154"/>
      <c r="X49" s="157"/>
      <c r="Y49" s="152">
        <f t="shared" si="6"/>
        <v>4</v>
      </c>
      <c r="Z49" s="165"/>
    </row>
    <row r="50" hidden="1">
      <c r="A50" s="140">
        <f t="shared" si="1"/>
        <v>41</v>
      </c>
      <c r="B50" s="141" t="str">
        <f t="array" ref="B50">XLOOKUP(D50,'GSM T4.2026'!$B$1:$B$996,'GSM T4.2026'!$C$1:$C$996)</f>
        <v>21/09/2024</v>
      </c>
      <c r="C50" s="142" t="str">
        <f t="array" ref="C50">XLOOKUP(F50,'GSM T4.2026'!D:D,'GSM T4.2026'!F:F)</f>
        <v>Trương Công Nhật Tùng</v>
      </c>
      <c r="D50" s="143" t="str">
        <f t="array" ref="D50">XLOOKUP(F50,'GSM T4.2026'!$D:$D,'GSM T4.2026'!$B:$B)</f>
        <v>HLR</v>
      </c>
      <c r="E50" s="144" t="str">
        <f t="array" ref="E50">XLOOKUP(F50,'GSM T4.2026'!D:D,'GSM T4.2026'!$E:$E)</f>
        <v>HCM 030</v>
      </c>
      <c r="F50" s="145" t="s">
        <v>507</v>
      </c>
      <c r="G50" s="146">
        <v>45966.0</v>
      </c>
      <c r="H50" s="147">
        <f t="shared" si="18"/>
        <v>204</v>
      </c>
      <c r="I50" s="148">
        <v>46120.0</v>
      </c>
      <c r="J50" s="149">
        <f>I50-3</f>
        <v>46117</v>
      </c>
      <c r="K50" s="150">
        <f t="shared" ref="K50:K51" si="22">I50-5</f>
        <v>46115</v>
      </c>
      <c r="L50" s="147" t="s">
        <v>508</v>
      </c>
      <c r="M50" s="14" t="s">
        <v>7</v>
      </c>
      <c r="N50" s="159">
        <v>46116.0</v>
      </c>
      <c r="O50" s="152">
        <f t="shared" si="5"/>
        <v>0</v>
      </c>
      <c r="P50" s="153" t="s">
        <v>438</v>
      </c>
      <c r="Q50" s="151"/>
      <c r="R50" s="151"/>
      <c r="S50" s="151"/>
      <c r="T50" s="151"/>
      <c r="U50" s="151"/>
      <c r="V50" s="151"/>
      <c r="W50" s="158"/>
      <c r="X50" s="157"/>
      <c r="Y50" s="152">
        <f t="shared" si="6"/>
        <v>4</v>
      </c>
      <c r="Z50" s="165"/>
    </row>
    <row r="51" hidden="1">
      <c r="A51" s="140">
        <f t="shared" si="1"/>
        <v>42</v>
      </c>
      <c r="B51" s="141">
        <f t="array" ref="B51">XLOOKUP(D51,'GSM T4.2026'!$B$1:$B$996,'GSM T4.2026'!$C$1:$C$996)</f>
        <v>45605</v>
      </c>
      <c r="C51" s="142" t="str">
        <f t="array" ref="C51">XLOOKUP(F51,'GSM T4.2026'!D:D,'GSM T4.2026'!F:F)</f>
        <v>Trần Kim Phụng</v>
      </c>
      <c r="D51" s="143" t="str">
        <f t="array" ref="D51">XLOOKUP(F51,'GSM T4.2026'!$D:$D,'GSM T4.2026'!$B:$B)</f>
        <v>SSR</v>
      </c>
      <c r="E51" s="144" t="str">
        <f t="array" ref="E51">XLOOKUP(F51,'GSM T4.2026'!D:D,'GSM T4.2026'!$E:$E)</f>
        <v>HCM 004</v>
      </c>
      <c r="F51" s="145" t="s">
        <v>509</v>
      </c>
      <c r="G51" s="146">
        <v>45977.0</v>
      </c>
      <c r="H51" s="147">
        <f t="shared" si="18"/>
        <v>193</v>
      </c>
      <c r="I51" s="148">
        <v>46120.0</v>
      </c>
      <c r="J51" s="149">
        <f t="shared" ref="J51:J52" si="23">I51-2</f>
        <v>46118</v>
      </c>
      <c r="K51" s="150">
        <f t="shared" si="22"/>
        <v>46115</v>
      </c>
      <c r="L51" s="147" t="s">
        <v>508</v>
      </c>
      <c r="M51" s="14" t="s">
        <v>7</v>
      </c>
      <c r="N51" s="159">
        <v>46207.0</v>
      </c>
      <c r="O51" s="152">
        <f t="shared" si="5"/>
        <v>0</v>
      </c>
      <c r="P51" s="153" t="s">
        <v>438</v>
      </c>
      <c r="Q51" s="151"/>
      <c r="R51" s="151"/>
      <c r="S51" s="151"/>
      <c r="T51" s="151"/>
      <c r="U51" s="151"/>
      <c r="V51" s="151"/>
      <c r="W51" s="158"/>
      <c r="X51" s="157"/>
      <c r="Y51" s="152">
        <f t="shared" si="6"/>
        <v>4</v>
      </c>
      <c r="Z51" s="165"/>
    </row>
    <row r="52" hidden="1">
      <c r="A52" s="140">
        <f t="shared" si="1"/>
        <v>43</v>
      </c>
      <c r="B52" s="141">
        <f t="array" ref="B52">XLOOKUP(D52,'GSM T4.2026'!$B$1:$B$996,'GSM T4.2026'!$C$1:$C$996)</f>
        <v>45597</v>
      </c>
      <c r="C52" s="142" t="str">
        <f t="array" ref="C52">XLOOKUP(F52,'GSM T4.2026'!D:D,'GSM T4.2026'!F:F)</f>
        <v>Lâm Văn Tú</v>
      </c>
      <c r="D52" s="143" t="str">
        <f t="array" ref="D52">XLOOKUP(F52,'GSM T4.2026'!$D:$D,'GSM T4.2026'!$B:$B)</f>
        <v>TVK</v>
      </c>
      <c r="E52" s="144" t="str">
        <f t="array" ref="E52">XLOOKUP(F52,'GSM T4.2026'!D:D,'GSM T4.2026'!$E:$E)</f>
        <v>HCM 028</v>
      </c>
      <c r="F52" s="145" t="s">
        <v>510</v>
      </c>
      <c r="G52" s="146">
        <v>45981.0</v>
      </c>
      <c r="H52" s="147">
        <f t="shared" si="18"/>
        <v>189</v>
      </c>
      <c r="I52" s="148">
        <v>46119.0</v>
      </c>
      <c r="J52" s="149">
        <f t="shared" si="23"/>
        <v>46117</v>
      </c>
      <c r="K52" s="150">
        <f>I52-3</f>
        <v>46116</v>
      </c>
      <c r="L52" s="147" t="s">
        <v>511</v>
      </c>
      <c r="M52" s="14" t="s">
        <v>7</v>
      </c>
      <c r="N52" s="159">
        <v>46269.0</v>
      </c>
      <c r="O52" s="152">
        <f t="shared" si="5"/>
        <v>0</v>
      </c>
      <c r="P52" s="153" t="s">
        <v>438</v>
      </c>
      <c r="Y52" s="152">
        <f t="shared" si="6"/>
        <v>4</v>
      </c>
      <c r="Z52" s="165"/>
    </row>
    <row r="53" hidden="1">
      <c r="A53" s="140">
        <f t="shared" si="1"/>
        <v>44</v>
      </c>
      <c r="B53" s="141" t="str">
        <f t="array" ref="B53">XLOOKUP(D53,'GSM T4.2026'!$B$1:$B$996,'GSM T4.2026'!$C$1:$C$996)</f>
        <v>24/08/2024</v>
      </c>
      <c r="C53" s="142" t="str">
        <f t="array" ref="C53">XLOOKUP(F53,'GSM T4.2026'!D:D,'GSM T4.2026'!F:F)</f>
        <v>Lê Ngọc Phát</v>
      </c>
      <c r="D53" s="168" t="str">
        <f t="array" ref="D53">XLOOKUP(F53,'GSM T4.2026'!$D:$D,'GSM T4.2026'!$B:$B)</f>
        <v>HPD</v>
      </c>
      <c r="E53" s="144" t="str">
        <f t="array" ref="E53">XLOOKUP(F53,'GSM T4.2026'!D:D,'GSM T4.2026'!$E:$E)</f>
        <v>HCM 027</v>
      </c>
      <c r="F53" s="169" t="s">
        <v>512</v>
      </c>
      <c r="G53" s="146">
        <v>45918.0</v>
      </c>
      <c r="H53" s="147">
        <f t="shared" si="18"/>
        <v>252</v>
      </c>
      <c r="I53" s="148">
        <v>46121.0</v>
      </c>
      <c r="J53" s="149">
        <f>I53-3</f>
        <v>46118</v>
      </c>
      <c r="K53" s="150">
        <f>I53-5</f>
        <v>46116</v>
      </c>
      <c r="L53" s="147" t="s">
        <v>513</v>
      </c>
      <c r="M53" s="14" t="s">
        <v>7</v>
      </c>
      <c r="N53" s="159">
        <v>46330.0</v>
      </c>
      <c r="O53" s="152">
        <f t="shared" si="5"/>
        <v>0</v>
      </c>
      <c r="P53" s="153" t="s">
        <v>438</v>
      </c>
      <c r="Q53" s="151"/>
      <c r="R53" s="151"/>
      <c r="S53" s="151"/>
      <c r="T53" s="151"/>
      <c r="U53" s="151"/>
      <c r="V53" s="151"/>
      <c r="W53" s="158"/>
      <c r="X53" s="157"/>
      <c r="Y53" s="152">
        <f t="shared" si="6"/>
        <v>4</v>
      </c>
      <c r="Z53" s="164" t="s">
        <v>514</v>
      </c>
    </row>
    <row r="54" hidden="1">
      <c r="A54" s="140">
        <f t="shared" si="1"/>
        <v>45</v>
      </c>
      <c r="B54" s="141" t="str">
        <f t="array" ref="B54">XLOOKUP(D54,'GSM T4.2026'!$B$1:$B$996,'GSM T4.2026'!$C$1:$C$996)</f>
        <v>25/10/2022</v>
      </c>
      <c r="C54" s="142" t="str">
        <f t="array" ref="C54">XLOOKUP(F54,'GSM T4.2026'!D:D,'GSM T4.2026'!F:F)</f>
        <v>Nguyễn Thị Ngọc Thảo</v>
      </c>
      <c r="D54" s="143" t="str">
        <f t="array" ref="D54">XLOOKUP(F54,'GSM T4.2026'!$D:$D,'GSM T4.2026'!$B:$B)</f>
        <v>CN1</v>
      </c>
      <c r="E54" s="144" t="str">
        <f t="array" ref="E54">XLOOKUP(F54,'GSM T4.2026'!D:D,'GSM T4.2026'!$E:$E)</f>
        <v>HCM 012</v>
      </c>
      <c r="F54" s="145" t="s">
        <v>515</v>
      </c>
      <c r="G54" s="146">
        <v>45792.0</v>
      </c>
      <c r="H54" s="147">
        <f t="shared" si="18"/>
        <v>378</v>
      </c>
      <c r="I54" s="170">
        <v>46121.0</v>
      </c>
      <c r="J54" s="149">
        <f t="shared" ref="J54:J60" si="24">I54-2</f>
        <v>46119</v>
      </c>
      <c r="K54" s="150">
        <f t="shared" ref="K54:K58" si="25">I54-4</f>
        <v>46117</v>
      </c>
      <c r="L54" s="147" t="s">
        <v>508</v>
      </c>
      <c r="M54" s="14" t="s">
        <v>7</v>
      </c>
      <c r="N54" s="171">
        <v>46116.0</v>
      </c>
      <c r="O54" s="152">
        <f t="shared" si="5"/>
        <v>0</v>
      </c>
      <c r="P54" s="153" t="s">
        <v>438</v>
      </c>
      <c r="Q54" s="154"/>
      <c r="R54" s="154"/>
      <c r="S54" s="154"/>
      <c r="T54" s="154"/>
      <c r="U54" s="154"/>
      <c r="V54" s="154"/>
      <c r="W54" s="154"/>
      <c r="X54" s="154"/>
      <c r="Y54" s="152">
        <f t="shared" si="6"/>
        <v>4</v>
      </c>
      <c r="Z54" s="164" t="s">
        <v>514</v>
      </c>
    </row>
    <row r="55" hidden="1">
      <c r="A55" s="140">
        <f t="shared" si="1"/>
        <v>46</v>
      </c>
      <c r="B55" s="141" t="str">
        <f t="array" ref="B55">XLOOKUP(D55,'GSM T4.2026'!$B$1:$B$996,'GSM T4.2026'!$C$1:$C$996)</f>
        <v>29/10/2021</v>
      </c>
      <c r="C55" s="142" t="str">
        <f t="array" ref="C55">XLOOKUP(F55,'GSM T4.2026'!D:D,'GSM T4.2026'!F:F)</f>
        <v>Cao Chánh Tuấn</v>
      </c>
      <c r="D55" s="143" t="str">
        <f t="array" ref="D55">XLOOKUP(F55,'GSM T4.2026'!$D:$D,'GSM T4.2026'!$B:$B)</f>
        <v>PHG</v>
      </c>
      <c r="E55" s="144" t="str">
        <f t="array" ref="E55">XLOOKUP(F55,'GSM T4.2026'!D:D,'GSM T4.2026'!$E:$E)</f>
        <v>HCM 010</v>
      </c>
      <c r="F55" s="145" t="s">
        <v>516</v>
      </c>
      <c r="G55" s="146">
        <v>45960.0</v>
      </c>
      <c r="H55" s="147">
        <f t="shared" si="18"/>
        <v>210</v>
      </c>
      <c r="I55" s="148"/>
      <c r="J55" s="149">
        <f t="shared" si="24"/>
        <v>-2</v>
      </c>
      <c r="K55" s="150">
        <f t="shared" si="25"/>
        <v>-4</v>
      </c>
      <c r="L55" s="147"/>
      <c r="M55" s="157"/>
      <c r="N55" s="151"/>
      <c r="O55" s="152">
        <f t="shared" si="5"/>
        <v>0</v>
      </c>
      <c r="P55" s="151"/>
      <c r="Q55" s="151"/>
      <c r="R55" s="151"/>
      <c r="S55" s="151"/>
      <c r="T55" s="151"/>
      <c r="U55" s="151"/>
      <c r="V55" s="151"/>
      <c r="W55" s="158"/>
      <c r="X55" s="157"/>
      <c r="Y55" s="152">
        <f t="shared" si="6"/>
        <v>12</v>
      </c>
      <c r="Z55" s="152"/>
    </row>
    <row r="56" hidden="1">
      <c r="A56" s="140">
        <f t="shared" si="1"/>
        <v>47</v>
      </c>
      <c r="B56" s="141">
        <f t="array" ref="B56">XLOOKUP(D56,'GSM T4.2026'!$B$1:$B$996,'GSM T4.2026'!$C$1:$C$996)</f>
        <v>45269</v>
      </c>
      <c r="C56" s="142" t="str">
        <f t="array" ref="C56">XLOOKUP(F56,'GSM T4.2026'!D:D,'GSM T4.2026'!F:F)</f>
        <v>Cao Chánh Tuấn</v>
      </c>
      <c r="D56" s="143" t="str">
        <f t="array" ref="D56">XLOOKUP(F56,'GSM T4.2026'!$D:$D,'GSM T4.2026'!$B:$B)</f>
        <v>PGS</v>
      </c>
      <c r="E56" s="144" t="str">
        <f t="array" ref="E56">XLOOKUP(F56,'GSM T4.2026'!D:D,'GSM T4.2026'!$E:$E)</f>
        <v>HCM 010</v>
      </c>
      <c r="F56" s="145" t="s">
        <v>517</v>
      </c>
      <c r="G56" s="146">
        <v>45972.0</v>
      </c>
      <c r="H56" s="147">
        <f t="shared" si="18"/>
        <v>198</v>
      </c>
      <c r="I56" s="148"/>
      <c r="J56" s="149">
        <f t="shared" si="24"/>
        <v>-2</v>
      </c>
      <c r="K56" s="150">
        <f t="shared" si="25"/>
        <v>-4</v>
      </c>
      <c r="L56" s="147"/>
      <c r="M56" s="172"/>
      <c r="N56" s="151"/>
      <c r="O56" s="152">
        <f t="shared" si="5"/>
        <v>0</v>
      </c>
      <c r="P56" s="173"/>
      <c r="Q56" s="174"/>
      <c r="R56" s="174"/>
      <c r="S56" s="174"/>
      <c r="T56" s="174"/>
      <c r="U56" s="174"/>
      <c r="V56" s="174"/>
      <c r="W56" s="154"/>
      <c r="X56" s="160"/>
      <c r="Y56" s="152">
        <f t="shared" si="6"/>
        <v>12</v>
      </c>
      <c r="Z56" s="152"/>
    </row>
    <row r="57" hidden="1">
      <c r="A57" s="140">
        <f t="shared" si="1"/>
        <v>48</v>
      </c>
      <c r="B57" s="141">
        <f t="array" ref="B57">XLOOKUP(D57,'GSM T4.2026'!$B$1:$B$996,'GSM T4.2026'!$C$1:$C$996)</f>
        <v>45933</v>
      </c>
      <c r="C57" s="142" t="str">
        <f t="array" ref="C57">XLOOKUP(F57,'GSM T4.2026'!D:D,'GSM T4.2026'!F:F)</f>
        <v>Cao Chánh Tuấn</v>
      </c>
      <c r="D57" s="143" t="str">
        <f t="array" ref="D57">XLOOKUP(F57,'GSM T4.2026'!$D:$D,'GSM T4.2026'!$B:$B)</f>
        <v>A114</v>
      </c>
      <c r="E57" s="144" t="str">
        <f t="array" ref="E57">XLOOKUP(F57,'GSM T4.2026'!D:D,'GSM T4.2026'!$E:$E)</f>
        <v>HCM 010</v>
      </c>
      <c r="F57" s="145" t="s">
        <v>518</v>
      </c>
      <c r="G57" s="146">
        <v>45968.0</v>
      </c>
      <c r="H57" s="147">
        <f t="shared" si="18"/>
        <v>202</v>
      </c>
      <c r="I57" s="148"/>
      <c r="J57" s="149">
        <f t="shared" si="24"/>
        <v>-2</v>
      </c>
      <c r="K57" s="150">
        <f t="shared" si="25"/>
        <v>-4</v>
      </c>
      <c r="L57" s="147"/>
      <c r="M57" s="157"/>
      <c r="N57" s="151"/>
      <c r="O57" s="152">
        <f t="shared" si="5"/>
        <v>0</v>
      </c>
      <c r="P57" s="151"/>
      <c r="Q57" s="151"/>
      <c r="R57" s="151"/>
      <c r="S57" s="151"/>
      <c r="T57" s="151"/>
      <c r="U57" s="151"/>
      <c r="V57" s="151"/>
      <c r="W57" s="158"/>
      <c r="X57" s="157"/>
      <c r="Y57" s="152">
        <f t="shared" si="6"/>
        <v>12</v>
      </c>
      <c r="Z57" s="152"/>
    </row>
    <row r="58" hidden="1">
      <c r="A58" s="140">
        <f t="shared" si="1"/>
        <v>49</v>
      </c>
      <c r="B58" s="141" t="str">
        <f t="array" ref="B58">XLOOKUP(D58,'GSM T4.2026'!$B$1:$B$996,'GSM T4.2026'!$C$1:$C$996)</f>
        <v>27/10/2022</v>
      </c>
      <c r="C58" s="142" t="str">
        <f t="array" ref="C58">XLOOKUP(F58,'GSM T4.2026'!D:D,'GSM T4.2026'!F:F)</f>
        <v>Hứa Thái Hiển</v>
      </c>
      <c r="D58" s="143" t="str">
        <f t="array" ref="D58">XLOOKUP(F58,'GSM T4.2026'!$D:$D,'GSM T4.2026'!$B:$B)</f>
        <v>PHL</v>
      </c>
      <c r="E58" s="144" t="str">
        <f t="array" ref="E58">XLOOKUP(F58,'GSM T4.2026'!D:D,'GSM T4.2026'!$E:$E)</f>
        <v>HCM 023</v>
      </c>
      <c r="F58" s="145" t="s">
        <v>519</v>
      </c>
      <c r="G58" s="146">
        <v>45826.0</v>
      </c>
      <c r="H58" s="147">
        <f t="shared" si="18"/>
        <v>344</v>
      </c>
      <c r="I58" s="148">
        <v>46121.0</v>
      </c>
      <c r="J58" s="149">
        <f t="shared" si="24"/>
        <v>46119</v>
      </c>
      <c r="K58" s="150">
        <f t="shared" si="25"/>
        <v>46117</v>
      </c>
      <c r="L58" s="147" t="s">
        <v>520</v>
      </c>
      <c r="M58" s="14" t="s">
        <v>7</v>
      </c>
      <c r="N58" s="159">
        <v>46177.0</v>
      </c>
      <c r="O58" s="152">
        <f t="shared" si="5"/>
        <v>0</v>
      </c>
      <c r="P58" s="153" t="s">
        <v>438</v>
      </c>
      <c r="Q58" s="151"/>
      <c r="R58" s="151"/>
      <c r="S58" s="151"/>
      <c r="T58" s="151"/>
      <c r="U58" s="151"/>
      <c r="V58" s="151"/>
      <c r="W58" s="154"/>
      <c r="X58" s="157"/>
      <c r="Y58" s="152">
        <f t="shared" si="6"/>
        <v>4</v>
      </c>
      <c r="Z58" s="165"/>
    </row>
    <row r="59">
      <c r="A59" s="140">
        <f t="shared" si="1"/>
        <v>50</v>
      </c>
      <c r="B59" s="141" t="str">
        <f t="array" ref="B59">XLOOKUP(D59,'GSM T4.2026'!$B$1:$B$996,'GSM T4.2026'!$C$1:$C$996)</f>
        <v>20/12/2024</v>
      </c>
      <c r="C59" s="142" t="str">
        <f t="array" ref="C59">XLOOKUP(F59,'GSM T4.2026'!D:D,'GSM T4.2026'!F:F)</f>
        <v>Huỳnh Ngọc Phương</v>
      </c>
      <c r="D59" s="143" t="str">
        <f t="array" ref="D59">XLOOKUP(F59,'GSM T4.2026'!$D:$D,'GSM T4.2026'!$B:$B)</f>
        <v>CLG</v>
      </c>
      <c r="E59" s="144" t="str">
        <f t="array" ref="E59">XLOOKUP(F59,'GSM T4.2026'!D:D,'GSM T4.2026'!$E:$E)</f>
        <v>HCM 033</v>
      </c>
      <c r="F59" s="145" t="s">
        <v>521</v>
      </c>
      <c r="G59" s="146">
        <v>45757.0</v>
      </c>
      <c r="H59" s="147">
        <f t="shared" si="18"/>
        <v>413</v>
      </c>
      <c r="I59" s="148">
        <v>46146.0</v>
      </c>
      <c r="J59" s="149">
        <f t="shared" si="24"/>
        <v>46144</v>
      </c>
      <c r="K59" s="150">
        <f>I59-3</f>
        <v>46143</v>
      </c>
      <c r="L59" s="147" t="s">
        <v>490</v>
      </c>
      <c r="M59" s="14" t="s">
        <v>7</v>
      </c>
      <c r="N59" s="159">
        <v>46178.0</v>
      </c>
      <c r="O59" s="152">
        <f t="shared" si="5"/>
        <v>0</v>
      </c>
      <c r="P59" s="153" t="s">
        <v>438</v>
      </c>
      <c r="Q59" s="151"/>
      <c r="R59" s="151"/>
      <c r="S59" s="151"/>
      <c r="T59" s="151"/>
      <c r="U59" s="151"/>
      <c r="V59" s="151"/>
      <c r="W59" s="154"/>
      <c r="X59" s="160"/>
      <c r="Y59" s="152">
        <f t="shared" si="6"/>
        <v>5</v>
      </c>
      <c r="Z59" s="165"/>
    </row>
    <row r="60" hidden="1">
      <c r="A60" s="140">
        <f t="shared" si="1"/>
        <v>51</v>
      </c>
      <c r="B60" s="141">
        <f t="array" ref="B60">XLOOKUP(D60,'GSM T4.2026'!$B$1:$B$996,'GSM T4.2026'!$C$1:$C$996)</f>
        <v>45726</v>
      </c>
      <c r="C60" s="142" t="str">
        <f t="array" ref="C60">XLOOKUP(F60,'GSM T4.2026'!D:D,'GSM T4.2026'!F:F)</f>
        <v>Trương Công Nhật Tùng</v>
      </c>
      <c r="D60" s="168" t="str">
        <f t="array" ref="D60">XLOOKUP(F60,'GSM T4.2026'!$D:$D,'GSM T4.2026'!$B:$B)</f>
        <v>A112</v>
      </c>
      <c r="E60" s="144" t="str">
        <f t="array" ref="E60">XLOOKUP(F60,'GSM T4.2026'!D:D,'GSM T4.2026'!$E:$E)</f>
        <v>HCM 030</v>
      </c>
      <c r="F60" s="145" t="s">
        <v>522</v>
      </c>
      <c r="G60" s="146">
        <v>45996.0</v>
      </c>
      <c r="H60" s="147">
        <f t="shared" si="18"/>
        <v>174</v>
      </c>
      <c r="I60" s="148"/>
      <c r="J60" s="149">
        <f t="shared" si="24"/>
        <v>-2</v>
      </c>
      <c r="K60" s="150">
        <f t="shared" ref="K60:K63" si="26">I60-4</f>
        <v>-4</v>
      </c>
      <c r="L60" s="147"/>
      <c r="M60" s="175"/>
      <c r="N60" s="151"/>
      <c r="O60" s="152">
        <f t="shared" si="5"/>
        <v>0</v>
      </c>
      <c r="P60" s="176"/>
      <c r="Q60" s="151"/>
      <c r="R60" s="151"/>
      <c r="S60" s="151"/>
      <c r="T60" s="151"/>
      <c r="U60" s="151"/>
      <c r="V60" s="151"/>
      <c r="W60" s="151"/>
      <c r="X60" s="151"/>
      <c r="Y60" s="152">
        <f t="shared" si="6"/>
        <v>12</v>
      </c>
      <c r="Z60" s="152"/>
    </row>
    <row r="61">
      <c r="A61" s="140">
        <f t="shared" si="1"/>
        <v>52</v>
      </c>
      <c r="B61" s="141" t="str">
        <f t="array" ref="B61">XLOOKUP(D61,'GSM T4.2026'!$B$1:$B$996,'GSM T4.2026'!$C$1:$C$996)</f>
        <v>16/12/2023</v>
      </c>
      <c r="C61" s="142" t="str">
        <f t="array" ref="C61">XLOOKUP(F61,'GSM T4.2026'!D:D,'GSM T4.2026'!F:F)</f>
        <v>Hồ Xuân Thịnh</v>
      </c>
      <c r="D61" s="143" t="str">
        <f t="array" ref="D61">XLOOKUP(F61,'GSM T4.2026'!$D:$D,'GSM T4.2026'!$B:$B)</f>
        <v>VH3</v>
      </c>
      <c r="E61" s="144" t="str">
        <f t="array" ref="E61">XLOOKUP(F61,'GSM T4.2026'!D:D,'GSM T4.2026'!$E:$E)</f>
        <v>HCM 021</v>
      </c>
      <c r="F61" s="145" t="s">
        <v>523</v>
      </c>
      <c r="G61" s="146">
        <v>45770.0</v>
      </c>
      <c r="H61" s="147">
        <f t="shared" si="18"/>
        <v>400</v>
      </c>
      <c r="I61" s="148">
        <v>46149.0</v>
      </c>
      <c r="J61" s="149">
        <f>I61-3</f>
        <v>46146</v>
      </c>
      <c r="K61" s="150">
        <f t="shared" si="26"/>
        <v>46145</v>
      </c>
      <c r="L61" s="147" t="s">
        <v>524</v>
      </c>
      <c r="M61" s="14" t="s">
        <v>7</v>
      </c>
      <c r="N61" s="151"/>
      <c r="O61" s="152">
        <f t="shared" si="5"/>
        <v>0</v>
      </c>
      <c r="P61" s="153" t="s">
        <v>449</v>
      </c>
      <c r="Q61" s="151"/>
      <c r="R61" s="151"/>
      <c r="S61" s="151"/>
      <c r="T61" s="151"/>
      <c r="U61" s="151"/>
      <c r="V61" s="151"/>
      <c r="W61" s="158"/>
      <c r="X61" s="160"/>
      <c r="Y61" s="152">
        <f t="shared" si="6"/>
        <v>5</v>
      </c>
      <c r="Z61" s="165"/>
    </row>
    <row r="62" hidden="1">
      <c r="A62" s="140">
        <f t="shared" si="1"/>
        <v>53</v>
      </c>
      <c r="B62" s="141" t="str">
        <f t="array" ref="B62">XLOOKUP(D62,'GSM T4.2026'!$B$1:$B$996,'GSM T4.2026'!$C$1:$C$996)</f>
        <v>31/08/2024</v>
      </c>
      <c r="C62" s="142" t="str">
        <f t="array" ref="C62">XLOOKUP(F62,'GSM T4.2026'!D:D,'GSM T4.2026'!F:F)</f>
        <v>Lê Thị Bích Liểu</v>
      </c>
      <c r="D62" s="143" t="str">
        <f t="array" ref="D62">XLOOKUP(F62,'GSM T4.2026'!$D:$D,'GSM T4.2026'!$B:$B)</f>
        <v>VH4</v>
      </c>
      <c r="E62" s="144" t="str">
        <f t="array" ref="E62">XLOOKUP(F62,'GSM T4.2026'!D:D,'GSM T4.2026'!$E:$E)</f>
        <v>HCM 034</v>
      </c>
      <c r="F62" s="145" t="s">
        <v>525</v>
      </c>
      <c r="G62" s="146">
        <v>45943.0</v>
      </c>
      <c r="H62" s="147">
        <f t="shared" si="18"/>
        <v>227</v>
      </c>
      <c r="I62" s="148"/>
      <c r="J62" s="149">
        <f t="shared" ref="J62:J69" si="27">I62-2</f>
        <v>-2</v>
      </c>
      <c r="K62" s="150">
        <f t="shared" si="26"/>
        <v>-4</v>
      </c>
      <c r="L62" s="147"/>
      <c r="M62" s="157"/>
      <c r="N62" s="151"/>
      <c r="O62" s="152">
        <f t="shared" si="5"/>
        <v>0</v>
      </c>
      <c r="P62" s="176"/>
      <c r="Q62" s="151"/>
      <c r="R62" s="151"/>
      <c r="S62" s="151"/>
      <c r="T62" s="151"/>
      <c r="U62" s="151"/>
      <c r="V62" s="151"/>
      <c r="W62" s="154"/>
      <c r="X62" s="157"/>
      <c r="Y62" s="152">
        <f t="shared" si="6"/>
        <v>12</v>
      </c>
      <c r="Z62" s="152"/>
    </row>
    <row r="63" hidden="1">
      <c r="A63" s="140">
        <f t="shared" si="1"/>
        <v>54</v>
      </c>
      <c r="B63" s="141">
        <f t="array" ref="B63">XLOOKUP(D63,'GSM T4.2026'!$B$1:$B$996,'GSM T4.2026'!$C$1:$C$996)</f>
        <v>45296</v>
      </c>
      <c r="C63" s="142" t="str">
        <f t="array" ref="C63">XLOOKUP(F63,'GSM T4.2026'!D:D,'GSM T4.2026'!F:F)</f>
        <v>Nguyễn Văn Lâm</v>
      </c>
      <c r="D63" s="143" t="str">
        <f t="array" ref="D63">XLOOKUP(F63,'GSM T4.2026'!$D:$D,'GSM T4.2026'!$B:$B)</f>
        <v>EHS</v>
      </c>
      <c r="E63" s="144" t="str">
        <f t="array" ref="E63">XLOOKUP(F63,'GSM T4.2026'!D:D,'GSM T4.2026'!$E:$E)</f>
        <v>HCM 007</v>
      </c>
      <c r="F63" s="145" t="s">
        <v>526</v>
      </c>
      <c r="G63" s="146">
        <v>45792.0</v>
      </c>
      <c r="H63" s="147">
        <f t="shared" si="18"/>
        <v>378</v>
      </c>
      <c r="I63" s="148">
        <v>46122.0</v>
      </c>
      <c r="J63" s="149">
        <f t="shared" si="27"/>
        <v>46120</v>
      </c>
      <c r="K63" s="150">
        <f t="shared" si="26"/>
        <v>46118</v>
      </c>
      <c r="L63" s="147" t="s">
        <v>527</v>
      </c>
      <c r="M63" s="14" t="s">
        <v>7</v>
      </c>
      <c r="N63" s="159">
        <v>46207.0</v>
      </c>
      <c r="O63" s="152">
        <f t="shared" si="5"/>
        <v>0</v>
      </c>
      <c r="P63" s="153" t="s">
        <v>438</v>
      </c>
      <c r="Q63" s="160"/>
      <c r="R63" s="160"/>
      <c r="S63" s="160"/>
      <c r="T63" s="160"/>
      <c r="U63" s="160"/>
      <c r="V63" s="167"/>
      <c r="W63" s="154"/>
      <c r="X63" s="157"/>
      <c r="Y63" s="152">
        <f t="shared" si="6"/>
        <v>4</v>
      </c>
      <c r="Z63" s="165"/>
    </row>
    <row r="64">
      <c r="A64" s="140">
        <f t="shared" si="1"/>
        <v>55</v>
      </c>
      <c r="B64" s="141">
        <f t="array" ref="B64">XLOOKUP(D64,'GSM T4.2026'!$B$1:$B$996,'GSM T4.2026'!$C$1:$C$996)</f>
        <v>46205</v>
      </c>
      <c r="C64" s="142" t="str">
        <f t="array" ref="C64">XLOOKUP(F64,'GSM T4.2026'!D:D,'GSM T4.2026'!F:F)</f>
        <v>Võ Thị Thùy Dương</v>
      </c>
      <c r="D64" s="168" t="str">
        <f t="array" ref="D64">XLOOKUP(F64,'GSM T4.2026'!$D:$D,'GSM T4.2026'!$B:$B)</f>
        <v>A136</v>
      </c>
      <c r="E64" s="144" t="str">
        <f t="array" ref="E64">XLOOKUP(F64,'GSM T4.2026'!D:D,'GSM T4.2026'!$E:$E)</f>
        <v>HCM 032</v>
      </c>
      <c r="F64" s="145" t="s">
        <v>528</v>
      </c>
      <c r="G64" s="147" t="s">
        <v>444</v>
      </c>
      <c r="H64" s="147" t="s">
        <v>444</v>
      </c>
      <c r="I64" s="148">
        <v>46147.0</v>
      </c>
      <c r="J64" s="149">
        <f t="shared" si="27"/>
        <v>46145</v>
      </c>
      <c r="K64" s="150">
        <f>I64-2</f>
        <v>46145</v>
      </c>
      <c r="L64" s="147" t="s">
        <v>529</v>
      </c>
      <c r="M64" s="14" t="s">
        <v>7</v>
      </c>
      <c r="N64" s="159">
        <v>46208.0</v>
      </c>
      <c r="O64" s="152">
        <f t="shared" si="5"/>
        <v>0</v>
      </c>
      <c r="P64" s="153" t="s">
        <v>438</v>
      </c>
      <c r="Q64" s="145"/>
      <c r="R64" s="145"/>
      <c r="S64" s="145"/>
      <c r="T64" s="145"/>
      <c r="U64" s="145"/>
      <c r="V64" s="145"/>
      <c r="W64" s="145"/>
      <c r="Y64" s="152">
        <f t="shared" si="6"/>
        <v>5</v>
      </c>
      <c r="Z64" s="165"/>
    </row>
    <row r="65" hidden="1">
      <c r="A65" s="140">
        <f t="shared" si="1"/>
        <v>56</v>
      </c>
      <c r="B65" s="141">
        <f t="array" ref="B65">XLOOKUP(D65,'GSM T4.2026'!$B$1:$B$996,'GSM T4.2026'!$C$1:$C$996)</f>
        <v>45505</v>
      </c>
      <c r="C65" s="142" t="str">
        <f t="array" ref="C65">XLOOKUP(F65,'GSM T4.2026'!D:D,'GSM T4.2026'!F:F)</f>
        <v>Đoàn Ngọc Thịnh</v>
      </c>
      <c r="D65" s="143" t="str">
        <f t="array" ref="D65">XLOOKUP(F65,'GSM T4.2026'!$D:$D,'GSM T4.2026'!$B:$B)</f>
        <v>NVD</v>
      </c>
      <c r="E65" s="144" t="str">
        <f t="array" ref="E65">XLOOKUP(F65,'GSM T4.2026'!D:D,'GSM T4.2026'!$E:$E)</f>
        <v>HCM 025</v>
      </c>
      <c r="F65" s="145" t="s">
        <v>530</v>
      </c>
      <c r="G65" s="146">
        <v>45966.0</v>
      </c>
      <c r="H65" s="147">
        <f t="shared" ref="H65:H80" si="28">TODAY()-G65</f>
        <v>204</v>
      </c>
      <c r="I65" s="148"/>
      <c r="J65" s="149">
        <f t="shared" si="27"/>
        <v>-2</v>
      </c>
      <c r="K65" s="150">
        <f t="shared" ref="K65:K67" si="29">I65-4</f>
        <v>-4</v>
      </c>
      <c r="L65" s="147"/>
      <c r="M65" s="157"/>
      <c r="N65" s="151"/>
      <c r="O65" s="152">
        <f t="shared" si="5"/>
        <v>0</v>
      </c>
      <c r="P65" s="151"/>
      <c r="Q65" s="151"/>
      <c r="R65" s="151"/>
      <c r="S65" s="151"/>
      <c r="T65" s="151"/>
      <c r="U65" s="151"/>
      <c r="V65" s="151"/>
      <c r="W65" s="158"/>
      <c r="X65" s="157"/>
      <c r="Y65" s="152">
        <f t="shared" si="6"/>
        <v>12</v>
      </c>
      <c r="Z65" s="152"/>
    </row>
    <row r="66" hidden="1">
      <c r="A66" s="140">
        <f t="shared" si="1"/>
        <v>57</v>
      </c>
      <c r="B66" s="141">
        <f t="array" ref="B66">XLOOKUP(D66,'GSM T4.2026'!$B$1:$B$996,'GSM T4.2026'!$C$1:$C$996)</f>
        <v>45940</v>
      </c>
      <c r="C66" s="142" t="str">
        <f t="array" ref="C66">XLOOKUP(F66,'GSM T4.2026'!D:D,'GSM T4.2026'!F:F)</f>
        <v>Đoàn Ngọc Thịnh</v>
      </c>
      <c r="D66" s="143" t="str">
        <f t="array" ref="D66">XLOOKUP(F66,'GSM T4.2026'!$D:$D,'GSM T4.2026'!$B:$B)</f>
        <v>A115</v>
      </c>
      <c r="E66" s="144" t="str">
        <f t="array" ref="E66">XLOOKUP(F66,'GSM T4.2026'!D:D,'GSM T4.2026'!$E:$E)</f>
        <v>HCM 025</v>
      </c>
      <c r="F66" s="145" t="s">
        <v>531</v>
      </c>
      <c r="G66" s="146">
        <v>45995.0</v>
      </c>
      <c r="H66" s="147">
        <f t="shared" si="28"/>
        <v>175</v>
      </c>
      <c r="I66" s="148"/>
      <c r="J66" s="149">
        <f t="shared" si="27"/>
        <v>-2</v>
      </c>
      <c r="K66" s="150">
        <f t="shared" si="29"/>
        <v>-4</v>
      </c>
      <c r="L66" s="147"/>
      <c r="M66" s="157"/>
      <c r="N66" s="151"/>
      <c r="O66" s="152">
        <f t="shared" si="5"/>
        <v>0</v>
      </c>
      <c r="P66" s="177"/>
      <c r="Q66" s="157"/>
      <c r="R66" s="157"/>
      <c r="S66" s="157"/>
      <c r="T66" s="157"/>
      <c r="U66" s="157"/>
      <c r="V66" s="151"/>
      <c r="W66" s="158"/>
      <c r="X66" s="157"/>
      <c r="Y66" s="152">
        <f t="shared" si="6"/>
        <v>12</v>
      </c>
      <c r="Z66" s="152"/>
    </row>
    <row r="67" hidden="1">
      <c r="A67" s="140">
        <f t="shared" si="1"/>
        <v>58</v>
      </c>
      <c r="B67" s="141" t="str">
        <f t="array" ref="B67">XLOOKUP(D67,'GSM T4.2026'!$B$1:$B$996,'GSM T4.2026'!$C$1:$C$996)</f>
        <v>23/07/2022</v>
      </c>
      <c r="C67" s="142" t="str">
        <f t="array" ref="C67">XLOOKUP(F67,'GSM T4.2026'!D:D,'GSM T4.2026'!F:F)</f>
        <v>Đoàn Ngọc Thịnh</v>
      </c>
      <c r="D67" s="143" t="str">
        <f t="array" ref="D67">XLOOKUP(F67,'GSM T4.2026'!$D:$D,'GSM T4.2026'!$B:$B)</f>
        <v>NHG</v>
      </c>
      <c r="E67" s="144" t="str">
        <f t="array" ref="E67">XLOOKUP(F67,'GSM T4.2026'!D:D,'GSM T4.2026'!$E:$E)</f>
        <v>HCM 025</v>
      </c>
      <c r="F67" s="145" t="s">
        <v>532</v>
      </c>
      <c r="G67" s="146">
        <v>45835.0</v>
      </c>
      <c r="H67" s="147">
        <f t="shared" si="28"/>
        <v>335</v>
      </c>
      <c r="I67" s="148"/>
      <c r="J67" s="149">
        <f t="shared" si="27"/>
        <v>-2</v>
      </c>
      <c r="K67" s="150">
        <f t="shared" si="29"/>
        <v>-4</v>
      </c>
      <c r="L67" s="147"/>
      <c r="M67" s="157"/>
      <c r="N67" s="151"/>
      <c r="O67" s="152">
        <f t="shared" si="5"/>
        <v>0</v>
      </c>
      <c r="P67" s="176"/>
      <c r="Q67" s="157"/>
      <c r="R67" s="151"/>
      <c r="S67" s="151"/>
      <c r="T67" s="151"/>
      <c r="U67" s="151"/>
      <c r="V67" s="151"/>
      <c r="W67" s="154"/>
      <c r="X67" s="160"/>
      <c r="Y67" s="152">
        <f t="shared" si="6"/>
        <v>12</v>
      </c>
      <c r="Z67" s="152"/>
    </row>
    <row r="68" hidden="1">
      <c r="A68" s="140">
        <f t="shared" si="1"/>
        <v>59</v>
      </c>
      <c r="B68" s="141">
        <f t="array" ref="B68">XLOOKUP(D68,'GSM T4.2026'!$B$1:$B$996,'GSM T4.2026'!$C$1:$C$996)</f>
        <v>45665</v>
      </c>
      <c r="C68" s="142" t="str">
        <f t="array" ref="C68">XLOOKUP(F68,'GSM T4.2026'!D:D,'GSM T4.2026'!F:F)</f>
        <v>Võ Thị Thùy Dương</v>
      </c>
      <c r="D68" s="143" t="str">
        <f t="array" ref="D68">XLOOKUP(F68,'GSM T4.2026'!$D:$D,'GSM T4.2026'!$B:$B)</f>
        <v>HHG</v>
      </c>
      <c r="E68" s="144" t="str">
        <f t="array" ref="E68">XLOOKUP(F68,'GSM T4.2026'!D:D,'GSM T4.2026'!$E:$E)</f>
        <v>HCM 032</v>
      </c>
      <c r="F68" s="145" t="s">
        <v>533</v>
      </c>
      <c r="G68" s="146">
        <v>45771.0</v>
      </c>
      <c r="H68" s="147">
        <f t="shared" si="28"/>
        <v>399</v>
      </c>
      <c r="I68" s="148">
        <v>46121.0</v>
      </c>
      <c r="J68" s="149">
        <f t="shared" si="27"/>
        <v>46119</v>
      </c>
      <c r="K68" s="150">
        <f>I68-2</f>
        <v>46119</v>
      </c>
      <c r="L68" s="147" t="s">
        <v>534</v>
      </c>
      <c r="M68" s="14" t="s">
        <v>7</v>
      </c>
      <c r="N68" s="159">
        <v>46360.0</v>
      </c>
      <c r="O68" s="152">
        <f t="shared" si="5"/>
        <v>0</v>
      </c>
      <c r="P68" s="153" t="s">
        <v>438</v>
      </c>
      <c r="Q68" s="151"/>
      <c r="R68" s="151"/>
      <c r="S68" s="151"/>
      <c r="T68" s="151"/>
      <c r="U68" s="151"/>
      <c r="V68" s="151"/>
      <c r="W68" s="151"/>
      <c r="X68" s="151"/>
      <c r="Y68" s="152">
        <f t="shared" si="6"/>
        <v>4</v>
      </c>
      <c r="Z68" s="165"/>
    </row>
    <row r="69" hidden="1">
      <c r="A69" s="140">
        <f t="shared" si="1"/>
        <v>60</v>
      </c>
      <c r="B69" s="141" t="str">
        <f t="array" ref="B69">XLOOKUP(D69,'GSM T4.2026'!$B$1:$B$996,'GSM T4.2026'!$C$1:$C$996)</f>
        <v>13/07/2024</v>
      </c>
      <c r="C69" s="142" t="str">
        <f t="array" ref="C69">XLOOKUP(F69,'GSM T4.2026'!D:D,'GSM T4.2026'!F:F)</f>
        <v>Hồng Trọng Nghĩa</v>
      </c>
      <c r="D69" s="143" t="str">
        <f t="array" ref="D69">XLOOKUP(F69,'GSM T4.2026'!$D:$D,'GSM T4.2026'!$B:$B)</f>
        <v>MZ2</v>
      </c>
      <c r="E69" s="144" t="str">
        <f t="array" ref="E69">XLOOKUP(F69,'GSM T4.2026'!D:D,'GSM T4.2026'!$E:$E)</f>
        <v>HCM 022</v>
      </c>
      <c r="F69" s="145" t="s">
        <v>535</v>
      </c>
      <c r="G69" s="146">
        <v>45876.0</v>
      </c>
      <c r="H69" s="147">
        <f t="shared" si="28"/>
        <v>294</v>
      </c>
      <c r="I69" s="148"/>
      <c r="J69" s="149">
        <f t="shared" si="27"/>
        <v>-2</v>
      </c>
      <c r="K69" s="150">
        <f t="shared" ref="K69:K70" si="30">I69-4</f>
        <v>-4</v>
      </c>
      <c r="L69" s="147"/>
      <c r="M69" s="157"/>
      <c r="N69" s="151"/>
      <c r="O69" s="152">
        <f t="shared" si="5"/>
        <v>0</v>
      </c>
      <c r="P69" s="151"/>
      <c r="Q69" s="151"/>
      <c r="R69" s="151"/>
      <c r="S69" s="151"/>
      <c r="T69" s="151"/>
      <c r="U69" s="151"/>
      <c r="V69" s="151"/>
      <c r="W69" s="158"/>
      <c r="X69" s="157"/>
      <c r="Y69" s="152">
        <f t="shared" si="6"/>
        <v>12</v>
      </c>
      <c r="Z69" s="152"/>
    </row>
    <row r="70">
      <c r="A70" s="140">
        <f t="shared" si="1"/>
        <v>61</v>
      </c>
      <c r="B70" s="141" t="str">
        <f t="array" ref="B70">XLOOKUP(D70,'GSM T4.2026'!$B$1:$B$996,'GSM T4.2026'!$C$1:$C$996)</f>
        <v>20/12/2024</v>
      </c>
      <c r="C70" s="142" t="str">
        <f t="array" ref="C70">XLOOKUP(F70,'GSM T4.2026'!D:D,'GSM T4.2026'!F:F)</f>
        <v>Huỳnh Thị Tuyết Nhi</v>
      </c>
      <c r="D70" s="143" t="str">
        <f t="array" ref="D70">XLOOKUP(F70,'GSM T4.2026'!$D:$D,'GSM T4.2026'!$B:$B)</f>
        <v>LPM</v>
      </c>
      <c r="E70" s="144" t="str">
        <f t="array" ref="E70">XLOOKUP(F70,'GSM T4.2026'!D:D,'GSM T4.2026'!$E:$E)</f>
        <v>HCM 002</v>
      </c>
      <c r="F70" s="145" t="s">
        <v>536</v>
      </c>
      <c r="G70" s="146">
        <v>45767.0</v>
      </c>
      <c r="H70" s="147">
        <f t="shared" si="28"/>
        <v>403</v>
      </c>
      <c r="I70" s="148">
        <v>46150.0</v>
      </c>
      <c r="J70" s="149">
        <f>I70-1</f>
        <v>46149</v>
      </c>
      <c r="K70" s="150">
        <f t="shared" si="30"/>
        <v>46146</v>
      </c>
      <c r="L70" s="147" t="s">
        <v>524</v>
      </c>
      <c r="M70" s="14" t="s">
        <v>7</v>
      </c>
      <c r="N70" s="159">
        <v>46178.0</v>
      </c>
      <c r="O70" s="152">
        <f t="shared" si="5"/>
        <v>0</v>
      </c>
      <c r="P70" s="153" t="s">
        <v>438</v>
      </c>
      <c r="Q70" s="151"/>
      <c r="R70" s="151"/>
      <c r="S70" s="151"/>
      <c r="T70" s="151"/>
      <c r="U70" s="151"/>
      <c r="V70" s="151"/>
      <c r="W70" s="156"/>
      <c r="X70" s="157"/>
      <c r="Y70" s="152">
        <f t="shared" si="6"/>
        <v>5</v>
      </c>
      <c r="Z70" s="178" t="s">
        <v>537</v>
      </c>
    </row>
    <row r="71">
      <c r="A71" s="140">
        <f t="shared" si="1"/>
        <v>62</v>
      </c>
      <c r="B71" s="141" t="str">
        <f t="array" ref="B71">XLOOKUP(D71,'GSM T4.2026'!$B$1:$B$996,'GSM T4.2026'!$C$1:$C$996)</f>
        <v>23/08/2024</v>
      </c>
      <c r="C71" s="142" t="str">
        <f t="array" ref="C71">XLOOKUP(F71,'GSM T4.2026'!D:D,'GSM T4.2026'!F:F)</f>
        <v>Lê Nguyễn Ngọc Phượng</v>
      </c>
      <c r="D71" s="143" t="str">
        <f t="array" ref="D71">XLOOKUP(F71,'GSM T4.2026'!$D:$D,'GSM T4.2026'!$B:$B)</f>
        <v>HTC</v>
      </c>
      <c r="E71" s="144" t="str">
        <f t="array" ref="E71">XLOOKUP(F71,'GSM T4.2026'!D:D,'GSM T4.2026'!$E:$E)</f>
        <v>HCM 016</v>
      </c>
      <c r="F71" s="145" t="s">
        <v>538</v>
      </c>
      <c r="G71" s="146">
        <v>45971.0</v>
      </c>
      <c r="H71" s="147">
        <f t="shared" si="28"/>
        <v>199</v>
      </c>
      <c r="I71" s="148">
        <v>46150.0</v>
      </c>
      <c r="J71" s="149">
        <f>I71+3</f>
        <v>46153</v>
      </c>
      <c r="K71" s="150">
        <f>I71-3</f>
        <v>46147</v>
      </c>
      <c r="L71" s="147" t="s">
        <v>539</v>
      </c>
      <c r="M71" s="14" t="s">
        <v>7</v>
      </c>
      <c r="N71" s="159" t="s">
        <v>540</v>
      </c>
      <c r="O71" s="152">
        <f t="shared" si="5"/>
        <v>0</v>
      </c>
      <c r="P71" s="153" t="s">
        <v>438</v>
      </c>
      <c r="Q71" s="151"/>
      <c r="R71" s="151"/>
      <c r="S71" s="151"/>
      <c r="T71" s="151"/>
      <c r="U71" s="151"/>
      <c r="V71" s="151"/>
      <c r="W71" s="151"/>
      <c r="X71" s="151"/>
      <c r="Y71" s="152">
        <f t="shared" si="6"/>
        <v>5</v>
      </c>
      <c r="Z71" s="152"/>
    </row>
    <row r="72">
      <c r="A72" s="140">
        <f t="shared" si="1"/>
        <v>63</v>
      </c>
      <c r="B72" s="141" t="str">
        <f t="array" ref="B72">XLOOKUP(D72,'GSM T4.2026'!$B$1:$B$996,'GSM T4.2026'!$C$1:$C$996)</f>
        <v>20/04/2024</v>
      </c>
      <c r="C72" s="142" t="str">
        <f t="array" ref="C72">XLOOKUP(F72,'GSM T4.2026'!D:D,'GSM T4.2026'!F:F)</f>
        <v>Trần Thanh Hiền</v>
      </c>
      <c r="D72" s="143" t="str">
        <f t="array" ref="D72">XLOOKUP(F72,'GSM T4.2026'!$D:$D,'GSM T4.2026'!$B:$B)</f>
        <v>IAP</v>
      </c>
      <c r="E72" s="144" t="str">
        <f t="array" ref="E72">XLOOKUP(F72,'GSM T4.2026'!D:D,'GSM T4.2026'!$E:$E)</f>
        <v>HCM 019</v>
      </c>
      <c r="F72" s="145" t="s">
        <v>541</v>
      </c>
      <c r="G72" s="146">
        <v>45752.0</v>
      </c>
      <c r="H72" s="147">
        <f t="shared" si="28"/>
        <v>418</v>
      </c>
      <c r="I72" s="148">
        <v>46153.0</v>
      </c>
      <c r="J72" s="149">
        <f>I72-2</f>
        <v>46151</v>
      </c>
      <c r="K72" s="150">
        <f>I72-4</f>
        <v>46149</v>
      </c>
      <c r="L72" s="147" t="s">
        <v>542</v>
      </c>
      <c r="M72" s="14" t="s">
        <v>7</v>
      </c>
      <c r="N72" s="151"/>
      <c r="O72" s="152">
        <f t="shared" si="5"/>
        <v>0</v>
      </c>
      <c r="P72" s="153" t="s">
        <v>449</v>
      </c>
      <c r="Q72" s="151"/>
      <c r="R72" s="151"/>
      <c r="S72" s="151"/>
      <c r="T72" s="151"/>
      <c r="U72" s="151"/>
      <c r="V72" s="151"/>
      <c r="W72" s="154"/>
      <c r="X72" s="160"/>
      <c r="Y72" s="152">
        <f t="shared" si="6"/>
        <v>5</v>
      </c>
      <c r="Z72" s="165"/>
    </row>
    <row r="73" hidden="1">
      <c r="A73" s="140">
        <f t="shared" si="1"/>
        <v>64</v>
      </c>
      <c r="B73" s="141" t="str">
        <f t="array" ref="B73">XLOOKUP(D73,'GSM T4.2026'!$B$1:$B$996,'GSM T4.2026'!$C$1:$C$996)</f>
        <v>14/10/2022</v>
      </c>
      <c r="C73" s="142" t="str">
        <f t="array" ref="C73">XLOOKUP(F73,'GSM T4.2026'!D:D,'GSM T4.2026'!F:F)</f>
        <v>Nguyễn Thị Ngọc Thảo</v>
      </c>
      <c r="D73" s="143" t="str">
        <f t="array" ref="D73">XLOOKUP(F73,'GSM T4.2026'!$D:$D,'GSM T4.2026'!$B:$B)</f>
        <v>NTU</v>
      </c>
      <c r="E73" s="144" t="str">
        <f t="array" ref="E73">XLOOKUP(F73,'GSM T4.2026'!D:D,'GSM T4.2026'!$E:$E)</f>
        <v>HCM 012</v>
      </c>
      <c r="F73" s="145" t="s">
        <v>543</v>
      </c>
      <c r="G73" s="146">
        <v>45794.0</v>
      </c>
      <c r="H73" s="147">
        <f t="shared" si="28"/>
        <v>376</v>
      </c>
      <c r="I73" s="148">
        <v>46125.0</v>
      </c>
      <c r="J73" s="149">
        <f>I73-3</f>
        <v>46122</v>
      </c>
      <c r="K73" s="150">
        <f>I73-5</f>
        <v>46120</v>
      </c>
      <c r="L73" s="147" t="s">
        <v>544</v>
      </c>
      <c r="M73" s="14" t="s">
        <v>7</v>
      </c>
      <c r="N73" s="159">
        <v>46269.0</v>
      </c>
      <c r="O73" s="152">
        <f t="shared" si="5"/>
        <v>0</v>
      </c>
      <c r="P73" s="153" t="s">
        <v>438</v>
      </c>
      <c r="Q73" s="154"/>
      <c r="R73" s="154"/>
      <c r="S73" s="154"/>
      <c r="T73" s="154"/>
      <c r="U73" s="154"/>
      <c r="V73" s="154"/>
      <c r="W73" s="154"/>
      <c r="X73" s="154"/>
      <c r="Y73" s="152">
        <f t="shared" si="6"/>
        <v>4</v>
      </c>
      <c r="Z73" s="165"/>
    </row>
    <row r="74" hidden="1">
      <c r="A74" s="140">
        <f t="shared" si="1"/>
        <v>65</v>
      </c>
      <c r="B74" s="141">
        <f t="array" ref="B74">XLOOKUP(D74,'GSM T4.2026'!$B$1:$B$996,'GSM T4.2026'!$C$1:$C$996)</f>
        <v>45387</v>
      </c>
      <c r="C74" s="142" t="str">
        <f t="array" ref="C74">XLOOKUP(F74,'GSM T4.2026'!D:D,'GSM T4.2026'!F:F)</f>
        <v>Hứa Thái Hiển</v>
      </c>
      <c r="D74" s="143" t="str">
        <f t="array" ref="D74">XLOOKUP(F74,'GSM T4.2026'!$D:$D,'GSM T4.2026'!$B:$B)</f>
        <v>LTC</v>
      </c>
      <c r="E74" s="144" t="str">
        <f t="array" ref="E74">XLOOKUP(F74,'GSM T4.2026'!D:D,'GSM T4.2026'!$E:$E)</f>
        <v>HCM 023</v>
      </c>
      <c r="F74" s="145" t="s">
        <v>545</v>
      </c>
      <c r="G74" s="146">
        <v>45968.0</v>
      </c>
      <c r="H74" s="147">
        <f t="shared" si="28"/>
        <v>202</v>
      </c>
      <c r="I74" s="148"/>
      <c r="J74" s="149">
        <f t="shared" ref="J74:J76" si="31">I74-2</f>
        <v>-2</v>
      </c>
      <c r="K74" s="150">
        <f t="shared" ref="K74:K81" si="32">I74-4</f>
        <v>-4</v>
      </c>
      <c r="L74" s="147"/>
      <c r="M74" s="175"/>
      <c r="N74" s="151"/>
      <c r="O74" s="152">
        <f t="shared" si="5"/>
        <v>0</v>
      </c>
      <c r="P74" s="176"/>
      <c r="Q74" s="151"/>
      <c r="R74" s="151"/>
      <c r="S74" s="151"/>
      <c r="T74" s="151"/>
      <c r="U74" s="151"/>
      <c r="V74" s="151"/>
      <c r="W74" s="154"/>
      <c r="X74" s="151"/>
      <c r="Y74" s="152">
        <f t="shared" si="6"/>
        <v>12</v>
      </c>
      <c r="Z74" s="152"/>
    </row>
    <row r="75" hidden="1">
      <c r="A75" s="140">
        <f t="shared" si="1"/>
        <v>66</v>
      </c>
      <c r="B75" s="141">
        <f t="array" ref="B75">XLOOKUP(D75,'GSM T4.2026'!$B$1:$B$996,'GSM T4.2026'!$C$1:$C$996)</f>
        <v>45568</v>
      </c>
      <c r="C75" s="142" t="str">
        <f t="array" ref="C75">XLOOKUP(F75,'GSM T4.2026'!D:D,'GSM T4.2026'!F:F)</f>
        <v>Đặng Đăng Khoa</v>
      </c>
      <c r="D75" s="143" t="str">
        <f t="array" ref="D75">XLOOKUP(F75,'GSM T4.2026'!$D:$D,'GSM T4.2026'!$B:$B)</f>
        <v>NVK</v>
      </c>
      <c r="E75" s="144" t="str">
        <f t="array" ref="E75">XLOOKUP(F75,'GSM T4.2026'!D:D,'GSM T4.2026'!$E:$E)</f>
        <v>HCM 036</v>
      </c>
      <c r="F75" s="145" t="s">
        <v>546</v>
      </c>
      <c r="G75" s="146">
        <v>45950.0</v>
      </c>
      <c r="H75" s="147">
        <f t="shared" si="28"/>
        <v>220</v>
      </c>
      <c r="I75" s="148"/>
      <c r="J75" s="149">
        <f t="shared" si="31"/>
        <v>-2</v>
      </c>
      <c r="K75" s="150">
        <f t="shared" si="32"/>
        <v>-4</v>
      </c>
      <c r="L75" s="147"/>
      <c r="M75" s="157"/>
      <c r="N75" s="151"/>
      <c r="O75" s="152">
        <f t="shared" si="5"/>
        <v>0</v>
      </c>
      <c r="P75" s="176"/>
      <c r="Q75" s="151"/>
      <c r="R75" s="151"/>
      <c r="S75" s="151"/>
      <c r="T75" s="151"/>
      <c r="U75" s="151"/>
      <c r="V75" s="151"/>
      <c r="W75" s="158"/>
      <c r="X75" s="160"/>
      <c r="Y75" s="152">
        <f t="shared" si="6"/>
        <v>12</v>
      </c>
      <c r="Z75" s="152"/>
    </row>
    <row r="76" hidden="1">
      <c r="A76" s="140">
        <f t="shared" si="1"/>
        <v>67</v>
      </c>
      <c r="B76" s="141" t="str">
        <f t="array" ref="B76">XLOOKUP(D76,'GSM T4.2026'!$B$1:$B$996,'GSM T4.2026'!$C$1:$C$996)</f>
        <v>23/02/2023</v>
      </c>
      <c r="C76" s="142" t="str">
        <f t="array" ref="C76">XLOOKUP(F76,'GSM T4.2026'!D:D,'GSM T4.2026'!F:F)</f>
        <v>Huỳnh Ngọc Phương</v>
      </c>
      <c r="D76" s="143" t="str">
        <f t="array" ref="D76">XLOOKUP(F76,'GSM T4.2026'!$D:$D,'GSM T4.2026'!$B:$B)</f>
        <v>DQH</v>
      </c>
      <c r="E76" s="144" t="str">
        <f t="array" ref="E76">XLOOKUP(F76,'GSM T4.2026'!D:D,'GSM T4.2026'!$E:$E)</f>
        <v>HCM 033</v>
      </c>
      <c r="F76" s="145" t="s">
        <v>547</v>
      </c>
      <c r="G76" s="146">
        <v>45966.0</v>
      </c>
      <c r="H76" s="147">
        <f t="shared" si="28"/>
        <v>204</v>
      </c>
      <c r="I76" s="148"/>
      <c r="J76" s="149">
        <f t="shared" si="31"/>
        <v>-2</v>
      </c>
      <c r="K76" s="150">
        <f t="shared" si="32"/>
        <v>-4</v>
      </c>
      <c r="L76" s="147"/>
      <c r="M76" s="157"/>
      <c r="N76" s="151"/>
      <c r="O76" s="152">
        <f t="shared" si="5"/>
        <v>0</v>
      </c>
      <c r="P76" s="176"/>
      <c r="Q76" s="151"/>
      <c r="R76" s="151"/>
      <c r="S76" s="151"/>
      <c r="T76" s="151"/>
      <c r="U76" s="151"/>
      <c r="V76" s="151"/>
      <c r="W76" s="154"/>
      <c r="X76" s="157"/>
      <c r="Y76" s="152">
        <f t="shared" si="6"/>
        <v>12</v>
      </c>
      <c r="Z76" s="152"/>
    </row>
    <row r="77" hidden="1">
      <c r="A77" s="140">
        <f t="shared" si="1"/>
        <v>68</v>
      </c>
      <c r="B77" s="141">
        <f t="array" ref="B77">XLOOKUP(D77,'GSM T4.2026'!$B$1:$B$996,'GSM T4.2026'!$C$1:$C$996)</f>
        <v>45877</v>
      </c>
      <c r="C77" s="142" t="str">
        <f t="array" ref="C77">XLOOKUP(F77,'GSM T4.2026'!D:D,'GSM T4.2026'!F:F)</f>
        <v>Huỳnh Ngọc Phương</v>
      </c>
      <c r="D77" s="143" t="str">
        <f t="array" ref="D77">XLOOKUP(F77,'GSM T4.2026'!$D:$D,'GSM T4.2026'!$B:$B)</f>
        <v>A106</v>
      </c>
      <c r="E77" s="144" t="str">
        <f t="array" ref="E77">XLOOKUP(F77,'GSM T4.2026'!D:D,'GSM T4.2026'!$E:$E)</f>
        <v>HCM 033</v>
      </c>
      <c r="F77" s="145" t="s">
        <v>548</v>
      </c>
      <c r="G77" s="146">
        <v>45971.0</v>
      </c>
      <c r="H77" s="147">
        <f t="shared" si="28"/>
        <v>199</v>
      </c>
      <c r="I77" s="148">
        <v>46125.0</v>
      </c>
      <c r="J77" s="149">
        <f>I77-3</f>
        <v>46122</v>
      </c>
      <c r="K77" s="150">
        <f t="shared" si="32"/>
        <v>46121</v>
      </c>
      <c r="L77" s="147" t="s">
        <v>549</v>
      </c>
      <c r="M77" s="14" t="s">
        <v>7</v>
      </c>
      <c r="N77" s="159" t="s">
        <v>550</v>
      </c>
      <c r="O77" s="152">
        <f t="shared" si="5"/>
        <v>0</v>
      </c>
      <c r="P77" s="153" t="s">
        <v>438</v>
      </c>
      <c r="Q77" s="157"/>
      <c r="R77" s="151"/>
      <c r="S77" s="151"/>
      <c r="T77" s="151"/>
      <c r="U77" s="151"/>
      <c r="V77" s="151"/>
      <c r="W77" s="158"/>
      <c r="X77" s="157"/>
      <c r="Y77" s="152">
        <f t="shared" si="6"/>
        <v>4</v>
      </c>
      <c r="Z77" s="165"/>
    </row>
    <row r="78" hidden="1">
      <c r="A78" s="140">
        <f t="shared" si="1"/>
        <v>69</v>
      </c>
      <c r="B78" s="141">
        <f t="array" ref="B78">XLOOKUP(D78,'GSM T4.2026'!$B$1:$B$996,'GSM T4.2026'!$C$1:$C$996)</f>
        <v>44114</v>
      </c>
      <c r="C78" s="142" t="str">
        <f t="array" ref="C78">XLOOKUP(F78,'GSM T4.2026'!D:D,'GSM T4.2026'!F:F)</f>
        <v>Trần Hữu Vinh</v>
      </c>
      <c r="D78" s="143" t="str">
        <f t="array" ref="D78">XLOOKUP(F78,'GSM T4.2026'!$D:$D,'GSM T4.2026'!$B:$B)</f>
        <v>HHT</v>
      </c>
      <c r="E78" s="144" t="str">
        <f t="array" ref="E78">XLOOKUP(F78,'GSM T4.2026'!D:D,'GSM T4.2026'!$E:$E)</f>
        <v>HCM 015</v>
      </c>
      <c r="F78" s="145" t="s">
        <v>551</v>
      </c>
      <c r="G78" s="146">
        <v>45883.0</v>
      </c>
      <c r="H78" s="147">
        <f t="shared" si="28"/>
        <v>287</v>
      </c>
      <c r="I78" s="148"/>
      <c r="J78" s="149">
        <f t="shared" ref="J78:J88" si="33">I78-2</f>
        <v>-2</v>
      </c>
      <c r="K78" s="150">
        <f t="shared" si="32"/>
        <v>-4</v>
      </c>
      <c r="L78" s="147"/>
      <c r="M78" s="157"/>
      <c r="N78" s="151"/>
      <c r="O78" s="152">
        <f t="shared" si="5"/>
        <v>0</v>
      </c>
      <c r="P78" s="179"/>
      <c r="Q78" s="180"/>
      <c r="R78" s="151"/>
      <c r="S78" s="151"/>
      <c r="T78" s="151"/>
      <c r="U78" s="151"/>
      <c r="V78" s="151"/>
      <c r="W78" s="154"/>
      <c r="X78" s="160"/>
      <c r="Y78" s="152">
        <f t="shared" si="6"/>
        <v>12</v>
      </c>
      <c r="Z78" s="152"/>
    </row>
    <row r="79" hidden="1">
      <c r="A79" s="140">
        <f t="shared" si="1"/>
        <v>70</v>
      </c>
      <c r="B79" s="141" t="str">
        <f t="array" ref="B79">XLOOKUP(D79,'GSM T4.2026'!$B$1:$B$996,'GSM T4.2026'!$C$1:$C$996)</f>
        <v>25/11/2023</v>
      </c>
      <c r="C79" s="142" t="str">
        <f t="array" ref="C79">XLOOKUP(F79,'GSM T4.2026'!D:D,'GSM T4.2026'!F:F)</f>
        <v>Lâm Văn Tú</v>
      </c>
      <c r="D79" s="143" t="str">
        <f t="array" ref="D79">XLOOKUP(F79,'GSM T4.2026'!$D:$D,'GSM T4.2026'!$B:$B)</f>
        <v>HMN</v>
      </c>
      <c r="E79" s="144" t="str">
        <f t="array" ref="E79">XLOOKUP(F79,'GSM T4.2026'!D:D,'GSM T4.2026'!$E:$E)</f>
        <v>HCM 028</v>
      </c>
      <c r="F79" s="145" t="s">
        <v>552</v>
      </c>
      <c r="G79" s="146">
        <v>45965.0</v>
      </c>
      <c r="H79" s="147">
        <f t="shared" si="28"/>
        <v>205</v>
      </c>
      <c r="I79" s="148"/>
      <c r="J79" s="149">
        <f t="shared" si="33"/>
        <v>-2</v>
      </c>
      <c r="K79" s="150">
        <f t="shared" si="32"/>
        <v>-4</v>
      </c>
      <c r="L79" s="147"/>
      <c r="M79" s="157"/>
      <c r="N79" s="151"/>
      <c r="O79" s="152">
        <f t="shared" si="5"/>
        <v>0</v>
      </c>
      <c r="P79" s="179"/>
      <c r="Q79" s="151"/>
      <c r="R79" s="151"/>
      <c r="S79" s="151"/>
      <c r="T79" s="151"/>
      <c r="U79" s="151"/>
      <c r="V79" s="151"/>
      <c r="W79" s="154"/>
      <c r="X79" s="160"/>
      <c r="Y79" s="152">
        <f t="shared" si="6"/>
        <v>12</v>
      </c>
      <c r="Z79" s="152"/>
    </row>
    <row r="80" hidden="1">
      <c r="A80" s="140">
        <f t="shared" si="1"/>
        <v>71</v>
      </c>
      <c r="B80" s="141" t="str">
        <f t="array" ref="B80">XLOOKUP(D80,'GSM T4.2026'!$B$1:$B$996,'GSM T4.2026'!$C$1:$C$996)</f>
        <v>25/08/2023</v>
      </c>
      <c r="C80" s="142" t="str">
        <f t="array" ref="C80">XLOOKUP(F80,'GSM T4.2026'!D:D,'GSM T4.2026'!F:F)</f>
        <v>Lâm Văn Tú</v>
      </c>
      <c r="D80" s="143" t="str">
        <f t="array" ref="D80">XLOOKUP(F80,'GSM T4.2026'!$D:$D,'GSM T4.2026'!$B:$B)</f>
        <v>GDU</v>
      </c>
      <c r="E80" s="144" t="str">
        <f t="array" ref="E80">XLOOKUP(F80,'GSM T4.2026'!D:D,'GSM T4.2026'!$E:$E)</f>
        <v>HCM 028</v>
      </c>
      <c r="F80" s="145" t="s">
        <v>553</v>
      </c>
      <c r="G80" s="146">
        <v>45968.0</v>
      </c>
      <c r="H80" s="147">
        <f t="shared" si="28"/>
        <v>202</v>
      </c>
      <c r="I80" s="148"/>
      <c r="J80" s="149">
        <f t="shared" si="33"/>
        <v>-2</v>
      </c>
      <c r="K80" s="150">
        <f t="shared" si="32"/>
        <v>-4</v>
      </c>
      <c r="L80" s="147"/>
      <c r="M80" s="151"/>
      <c r="N80" s="151"/>
      <c r="O80" s="152">
        <f t="shared" si="5"/>
        <v>0</v>
      </c>
      <c r="P80" s="176"/>
      <c r="Q80" s="151"/>
      <c r="R80" s="151"/>
      <c r="S80" s="151"/>
      <c r="T80" s="151"/>
      <c r="U80" s="151"/>
      <c r="V80" s="151"/>
      <c r="W80" s="151"/>
      <c r="X80" s="151"/>
      <c r="Y80" s="152">
        <f t="shared" si="6"/>
        <v>12</v>
      </c>
      <c r="Z80" s="152"/>
    </row>
    <row r="81" hidden="1">
      <c r="A81" s="140">
        <f t="shared" si="1"/>
        <v>72</v>
      </c>
      <c r="B81" s="141">
        <f t="array" ref="B81">XLOOKUP(D81,'GSM T4.2026'!$B$1:$B$996,'GSM T4.2026'!$C$1:$C$996)</f>
        <v>45820</v>
      </c>
      <c r="C81" s="142" t="str">
        <f t="array" ref="C81">XLOOKUP(F81,'GSM T4.2026'!D:D,'GSM T4.2026'!F:F)</f>
        <v>Lê Ngọc Thảo</v>
      </c>
      <c r="D81" s="143" t="str">
        <f t="array" ref="D81">XLOOKUP(F81,'GSM T4.2026'!$D:$D,'GSM T4.2026'!$B:$B)</f>
        <v>A128</v>
      </c>
      <c r="E81" s="144" t="str">
        <f t="array" ref="E81">XLOOKUP(F81,'GSM T4.2026'!D:D,'GSM T4.2026'!$E:$E)</f>
        <v>HCM 008</v>
      </c>
      <c r="F81" s="145" t="s">
        <v>554</v>
      </c>
      <c r="G81" s="147" t="s">
        <v>444</v>
      </c>
      <c r="H81" s="147" t="s">
        <v>444</v>
      </c>
      <c r="I81" s="148">
        <v>46127.0</v>
      </c>
      <c r="J81" s="149">
        <f t="shared" si="33"/>
        <v>46125</v>
      </c>
      <c r="K81" s="150">
        <f t="shared" si="32"/>
        <v>46123</v>
      </c>
      <c r="L81" s="147" t="s">
        <v>555</v>
      </c>
      <c r="M81" s="14" t="s">
        <v>7</v>
      </c>
      <c r="N81" s="162" t="s">
        <v>556</v>
      </c>
      <c r="O81" s="152">
        <f t="shared" si="5"/>
        <v>0</v>
      </c>
      <c r="P81" s="153" t="s">
        <v>438</v>
      </c>
      <c r="Q81" s="151"/>
      <c r="R81" s="151"/>
      <c r="S81" s="151"/>
      <c r="T81" s="151"/>
      <c r="U81" s="151"/>
      <c r="V81" s="151"/>
      <c r="W81" s="158"/>
      <c r="X81" s="160"/>
      <c r="Y81" s="152">
        <f t="shared" si="6"/>
        <v>4</v>
      </c>
      <c r="Z81" s="164" t="s">
        <v>557</v>
      </c>
    </row>
    <row r="82" hidden="1">
      <c r="A82" s="140">
        <f t="shared" si="1"/>
        <v>73</v>
      </c>
      <c r="B82" s="141" t="str">
        <f t="array" ref="B82">XLOOKUP(D82,'GSM T4.2026'!$B$1:$B$996,'GSM T4.2026'!$C$1:$C$996)</f>
        <v>27/11/2025</v>
      </c>
      <c r="C82" s="142" t="str">
        <f t="array" ref="C82">XLOOKUP(F82,'GSM T4.2026'!D:D,'GSM T4.2026'!F:F)</f>
        <v>Trần Tiến Thạnh</v>
      </c>
      <c r="D82" s="143" t="str">
        <f t="array" ref="D82">XLOOKUP(F82,'GSM T4.2026'!$D:$D,'GSM T4.2026'!$B:$B)</f>
        <v>A123</v>
      </c>
      <c r="E82" s="144" t="str">
        <f t="array" ref="E82">XLOOKUP(F82,'GSM T4.2026'!D:D,'GSM T4.2026'!$E:$E)</f>
        <v>HCM 026</v>
      </c>
      <c r="F82" s="145" t="s">
        <v>558</v>
      </c>
      <c r="G82" s="147" t="s">
        <v>444</v>
      </c>
      <c r="H82" s="147" t="s">
        <v>444</v>
      </c>
      <c r="I82" s="148">
        <v>46127.0</v>
      </c>
      <c r="J82" s="149">
        <f t="shared" si="33"/>
        <v>46125</v>
      </c>
      <c r="K82" s="150">
        <f>I82-3</f>
        <v>46124</v>
      </c>
      <c r="L82" s="147" t="s">
        <v>559</v>
      </c>
      <c r="M82" s="14" t="s">
        <v>7</v>
      </c>
      <c r="N82" s="159" t="s">
        <v>560</v>
      </c>
      <c r="O82" s="152">
        <f t="shared" si="5"/>
        <v>0</v>
      </c>
      <c r="P82" s="153" t="s">
        <v>438</v>
      </c>
      <c r="Q82" s="180"/>
      <c r="R82" s="151"/>
      <c r="S82" s="151"/>
      <c r="T82" s="151"/>
      <c r="U82" s="151"/>
      <c r="V82" s="151"/>
      <c r="W82" s="158"/>
      <c r="X82" s="157"/>
      <c r="Y82" s="152">
        <f t="shared" si="6"/>
        <v>4</v>
      </c>
      <c r="Z82" s="165"/>
    </row>
    <row r="83">
      <c r="A83" s="140">
        <f t="shared" si="1"/>
        <v>74</v>
      </c>
      <c r="B83" s="141" t="str">
        <f t="array" ref="B83">XLOOKUP(D83,'GSM T4.2026'!$B$1:$B$996,'GSM T4.2026'!$C$1:$C$996)</f>
        <v>19/12/2025</v>
      </c>
      <c r="C83" s="142" t="str">
        <f t="array" ref="C83">XLOOKUP(F83,'GSM T4.2026'!D:D,'GSM T4.2026'!F:F)</f>
        <v>Trần Huỳnh Thơ</v>
      </c>
      <c r="D83" s="143" t="str">
        <f t="array" ref="D83">XLOOKUP(F83,'GSM T4.2026'!$D:$D,'GSM T4.2026'!$B:$B)</f>
        <v>A138</v>
      </c>
      <c r="E83" s="144" t="str">
        <f t="array" ref="E83">XLOOKUP(F83,'GSM T4.2026'!D:D,'GSM T4.2026'!$E:$E)</f>
        <v>HCM 013</v>
      </c>
      <c r="F83" s="145" t="s">
        <v>561</v>
      </c>
      <c r="G83" s="147" t="s">
        <v>444</v>
      </c>
      <c r="H83" s="147" t="s">
        <v>444</v>
      </c>
      <c r="I83" s="148">
        <v>46153.0</v>
      </c>
      <c r="J83" s="149">
        <f t="shared" si="33"/>
        <v>46151</v>
      </c>
      <c r="K83" s="150">
        <f>I83-4</f>
        <v>46149</v>
      </c>
      <c r="L83" s="147" t="s">
        <v>542</v>
      </c>
      <c r="M83" s="14" t="s">
        <v>7</v>
      </c>
      <c r="N83" s="162" t="s">
        <v>562</v>
      </c>
      <c r="O83" s="152">
        <f t="shared" si="5"/>
        <v>0</v>
      </c>
      <c r="P83" s="153" t="s">
        <v>438</v>
      </c>
      <c r="Q83" s="151"/>
      <c r="R83" s="151"/>
      <c r="S83" s="151"/>
      <c r="T83" s="151"/>
      <c r="U83" s="151"/>
      <c r="V83" s="151"/>
      <c r="W83" s="151"/>
      <c r="X83" s="151"/>
      <c r="Y83" s="152">
        <f t="shared" si="6"/>
        <v>5</v>
      </c>
      <c r="Z83" s="165"/>
    </row>
    <row r="84">
      <c r="A84" s="140">
        <f t="shared" si="1"/>
        <v>75</v>
      </c>
      <c r="B84" s="141">
        <f t="array" ref="B84">XLOOKUP(D84,'GSM T4.2026'!$B$1:$B$996,'GSM T4.2026'!$C$1:$C$996)</f>
        <v>46266</v>
      </c>
      <c r="C84" s="142" t="str">
        <f t="array" ref="C84">XLOOKUP(F84,'GSM T4.2026'!D:D,'GSM T4.2026'!F:F)</f>
        <v>Phạm Duy</v>
      </c>
      <c r="D84" s="143" t="str">
        <f t="array" ref="D84">XLOOKUP(F84,'GSM T4.2026'!$D:$D,'GSM T4.2026'!$B:$B)</f>
        <v>A129</v>
      </c>
      <c r="E84" s="144" t="str">
        <f t="array" ref="E84">XLOOKUP(F84,'GSM T4.2026'!D:D,'GSM T4.2026'!$E:$E)</f>
        <v>HCM 024</v>
      </c>
      <c r="F84" s="145" t="s">
        <v>563</v>
      </c>
      <c r="G84" s="113" t="s">
        <v>444</v>
      </c>
      <c r="H84" s="147" t="s">
        <v>444</v>
      </c>
      <c r="I84" s="148">
        <v>46153.0</v>
      </c>
      <c r="J84" s="149">
        <f t="shared" si="33"/>
        <v>46151</v>
      </c>
      <c r="K84" s="150">
        <f>I84-3</f>
        <v>46150</v>
      </c>
      <c r="L84" s="147" t="s">
        <v>564</v>
      </c>
      <c r="M84" s="14" t="s">
        <v>7</v>
      </c>
      <c r="N84" s="151"/>
      <c r="O84" s="152">
        <f t="shared" si="5"/>
        <v>0</v>
      </c>
      <c r="P84" s="153" t="s">
        <v>449</v>
      </c>
      <c r="Q84" s="151"/>
      <c r="R84" s="151"/>
      <c r="S84" s="151"/>
      <c r="T84" s="151"/>
      <c r="U84" s="151"/>
      <c r="V84" s="151"/>
      <c r="W84" s="158"/>
      <c r="X84" s="157"/>
      <c r="Y84" s="152">
        <f t="shared" si="6"/>
        <v>5</v>
      </c>
      <c r="Z84" s="152"/>
    </row>
    <row r="85">
      <c r="A85" s="140">
        <f t="shared" si="1"/>
        <v>76</v>
      </c>
      <c r="B85" s="141">
        <f t="array" ref="B85">XLOOKUP(D85,'GSM T4.2026'!$B$1:$B$996,'GSM T4.2026'!$C$1:$C$996)</f>
        <v>46205</v>
      </c>
      <c r="C85" s="142" t="str">
        <f t="array" ref="C85">XLOOKUP(F85,'GSM T4.2026'!D:D,'GSM T4.2026'!F:F)</f>
        <v>Nguyễn Thuỷ Tiên</v>
      </c>
      <c r="D85" s="168" t="str">
        <f t="array" ref="D85">XLOOKUP(F85,'GSM T4.2026'!$D:$D,'GSM T4.2026'!$B:$B)</f>
        <v>A144</v>
      </c>
      <c r="E85" s="144" t="str">
        <f t="array" ref="E85">XLOOKUP(F85,'GSM T4.2026'!D:D,'GSM T4.2026'!$E:$E)</f>
        <v>HCM 003</v>
      </c>
      <c r="F85" s="145" t="s">
        <v>565</v>
      </c>
      <c r="G85" s="181" t="s">
        <v>444</v>
      </c>
      <c r="H85" s="147" t="s">
        <v>444</v>
      </c>
      <c r="I85" s="148">
        <v>46156.0</v>
      </c>
      <c r="J85" s="149">
        <f t="shared" si="33"/>
        <v>46154</v>
      </c>
      <c r="K85" s="150">
        <f t="shared" ref="K85:K86" si="34">I85-4</f>
        <v>46152</v>
      </c>
      <c r="L85" s="147" t="s">
        <v>566</v>
      </c>
      <c r="M85" s="14" t="s">
        <v>7</v>
      </c>
      <c r="N85" s="145"/>
      <c r="O85" s="152">
        <f t="shared" si="5"/>
        <v>0</v>
      </c>
      <c r="P85" s="153" t="s">
        <v>449</v>
      </c>
      <c r="Q85" s="145"/>
      <c r="R85" s="145"/>
      <c r="S85" s="145"/>
      <c r="T85" s="145"/>
      <c r="U85" s="145"/>
      <c r="V85" s="145"/>
      <c r="W85" s="145"/>
      <c r="Y85" s="152">
        <f t="shared" si="6"/>
        <v>5</v>
      </c>
      <c r="Z85" s="152"/>
    </row>
    <row r="86" hidden="1">
      <c r="A86" s="140">
        <f t="shared" si="1"/>
        <v>77</v>
      </c>
      <c r="B86" s="182" t="s">
        <v>567</v>
      </c>
      <c r="C86" s="142" t="str">
        <f t="array" ref="C86">XLOOKUP(F86,'GSM T4.2026'!D:D,'GSM T4.2026'!F:F)</f>
        <v>Đặng Đăng Khoa</v>
      </c>
      <c r="D86" s="147" t="s">
        <v>99</v>
      </c>
      <c r="E86" s="144" t="str">
        <f t="array" ref="E86">XLOOKUP(F86,'GSM T4.2026'!D:D,'GSM T4.2026'!$E:$E)</f>
        <v>HCM 036</v>
      </c>
      <c r="F86" s="145" t="s">
        <v>568</v>
      </c>
      <c r="G86" s="146">
        <v>46008.0</v>
      </c>
      <c r="H86" s="147">
        <f>TODAY()-G86</f>
        <v>162</v>
      </c>
      <c r="I86" s="148"/>
      <c r="J86" s="149">
        <f t="shared" si="33"/>
        <v>-2</v>
      </c>
      <c r="K86" s="150">
        <f t="shared" si="34"/>
        <v>-4</v>
      </c>
      <c r="L86" s="147"/>
      <c r="M86" s="157"/>
      <c r="N86" s="151"/>
      <c r="O86" s="152">
        <f t="shared" si="5"/>
        <v>0</v>
      </c>
      <c r="P86" s="176"/>
      <c r="Q86" s="151"/>
      <c r="R86" s="151"/>
      <c r="S86" s="151"/>
      <c r="T86" s="151"/>
      <c r="U86" s="151"/>
      <c r="V86" s="151"/>
      <c r="W86" s="158"/>
      <c r="X86" s="157"/>
      <c r="Y86" s="152">
        <f t="shared" si="6"/>
        <v>12</v>
      </c>
      <c r="Z86" s="152"/>
    </row>
    <row r="87" hidden="1">
      <c r="A87" s="140">
        <f t="shared" si="1"/>
        <v>78</v>
      </c>
      <c r="B87" s="141" t="str">
        <f t="array" ref="B87">XLOOKUP(D87,'GSM T4.2026'!$B$1:$B$996,'GSM T4.2026'!$C$1:$C$996)</f>
        <v>30/01/2026</v>
      </c>
      <c r="C87" s="142" t="str">
        <f t="array" ref="C87">XLOOKUP(F87,'GSM T4.2026'!D:D,'GSM T4.2026'!F:F)</f>
        <v>Nguyễn Thị Ngọc Giàu</v>
      </c>
      <c r="D87" s="168" t="str">
        <f t="array" ref="D87">XLOOKUP(F87,'GSM T4.2026'!$D:$D,'GSM T4.2026'!$B:$B)</f>
        <v>A134</v>
      </c>
      <c r="E87" s="144" t="str">
        <f t="array" ref="E87">XLOOKUP(F87,'GSM T4.2026'!D:D,'GSM T4.2026'!$E:$E)</f>
        <v>HCM 031</v>
      </c>
      <c r="F87" s="145" t="s">
        <v>569</v>
      </c>
      <c r="G87" s="147" t="s">
        <v>444</v>
      </c>
      <c r="H87" s="147" t="s">
        <v>444</v>
      </c>
      <c r="I87" s="148">
        <v>46128.0</v>
      </c>
      <c r="J87" s="149">
        <f t="shared" si="33"/>
        <v>46126</v>
      </c>
      <c r="K87" s="150">
        <f>I87-3</f>
        <v>46125</v>
      </c>
      <c r="L87" s="147" t="s">
        <v>570</v>
      </c>
      <c r="M87" s="14" t="s">
        <v>7</v>
      </c>
      <c r="N87" s="162" t="s">
        <v>571</v>
      </c>
      <c r="O87" s="152">
        <f t="shared" si="5"/>
        <v>0</v>
      </c>
      <c r="P87" s="153" t="s">
        <v>438</v>
      </c>
      <c r="Q87" s="145"/>
      <c r="R87" s="145"/>
      <c r="S87" s="145"/>
      <c r="T87" s="145"/>
      <c r="U87" s="145"/>
      <c r="V87" s="145"/>
      <c r="W87" s="145"/>
      <c r="Y87" s="152">
        <f t="shared" si="6"/>
        <v>4</v>
      </c>
      <c r="Z87" s="165"/>
    </row>
    <row r="88" hidden="1">
      <c r="A88" s="140">
        <f t="shared" si="1"/>
        <v>79</v>
      </c>
      <c r="B88" s="141">
        <f t="array" ref="B88">XLOOKUP(D88,'GSM T4.2026'!$B$1:$B$996,'GSM T4.2026'!$C$1:$C$996)</f>
        <v>44654</v>
      </c>
      <c r="C88" s="142" t="str">
        <f t="array" ref="C88">XLOOKUP(F88,'GSM T4.2026'!D:D,'GSM T4.2026'!F:F)</f>
        <v>Lê Nguyễn Ngọc Phượng</v>
      </c>
      <c r="D88" s="143" t="str">
        <f t="array" ref="D88">XLOOKUP(F88,'GSM T4.2026'!$D:$D,'GSM T4.2026'!$B:$B)</f>
        <v>VHT</v>
      </c>
      <c r="E88" s="144" t="str">
        <f t="array" ref="E88">XLOOKUP(F88,'GSM T4.2026'!D:D,'GSM T4.2026'!$E:$E)</f>
        <v>HCM 016</v>
      </c>
      <c r="F88" s="145" t="s">
        <v>572</v>
      </c>
      <c r="G88" s="146">
        <v>45986.0</v>
      </c>
      <c r="H88" s="147">
        <f>TODAY()-G88</f>
        <v>184</v>
      </c>
      <c r="I88" s="148"/>
      <c r="J88" s="149">
        <f t="shared" si="33"/>
        <v>-2</v>
      </c>
      <c r="K88" s="150">
        <f>I88-4</f>
        <v>-4</v>
      </c>
      <c r="L88" s="147"/>
      <c r="M88" s="175"/>
      <c r="N88" s="151"/>
      <c r="O88" s="152">
        <f t="shared" si="5"/>
        <v>0</v>
      </c>
      <c r="P88" s="176"/>
      <c r="Q88" s="151"/>
      <c r="R88" s="151"/>
      <c r="S88" s="151"/>
      <c r="T88" s="151"/>
      <c r="U88" s="151"/>
      <c r="V88" s="151"/>
      <c r="W88" s="151"/>
      <c r="X88" s="151"/>
      <c r="Y88" s="152">
        <f t="shared" si="6"/>
        <v>12</v>
      </c>
      <c r="Z88" s="152"/>
    </row>
    <row r="89" hidden="1">
      <c r="A89" s="140">
        <f t="shared" si="1"/>
        <v>80</v>
      </c>
      <c r="B89" s="141" t="str">
        <f t="array" ref="B89">XLOOKUP(D89,'GSM T4.2026'!$B$1:$B$996,'GSM T4.2026'!$C$1:$C$996)</f>
        <v>17/01/2026</v>
      </c>
      <c r="C89" s="142" t="str">
        <f t="array" ref="C89">XLOOKUP(F89,'GSM T4.2026'!D:D,'GSM T4.2026'!F:F)</f>
        <v>Trần Văn Hiếu</v>
      </c>
      <c r="D89" s="143" t="str">
        <f t="array" ref="D89">XLOOKUP(F89,'GSM T4.2026'!$D:$D,'GSM T4.2026'!$B:$B)</f>
        <v>A145</v>
      </c>
      <c r="E89" s="144" t="str">
        <f t="array" ref="E89">XLOOKUP(F89,'GSM T4.2026'!D:D,'GSM T4.2026'!$E:$E)</f>
        <v>HCM 014</v>
      </c>
      <c r="F89" s="145" t="s">
        <v>573</v>
      </c>
      <c r="G89" s="147" t="s">
        <v>444</v>
      </c>
      <c r="H89" s="147" t="s">
        <v>444</v>
      </c>
      <c r="I89" s="148">
        <v>46128.0</v>
      </c>
      <c r="J89" s="149">
        <f>I89-1</f>
        <v>46127</v>
      </c>
      <c r="K89" s="150">
        <f>I89-2</f>
        <v>46126</v>
      </c>
      <c r="L89" s="147" t="s">
        <v>574</v>
      </c>
      <c r="M89" s="14" t="s">
        <v>7</v>
      </c>
      <c r="N89" s="162" t="s">
        <v>575</v>
      </c>
      <c r="O89" s="152">
        <f t="shared" si="5"/>
        <v>0</v>
      </c>
      <c r="P89" s="153" t="s">
        <v>438</v>
      </c>
      <c r="Q89" s="145"/>
      <c r="R89" s="145"/>
      <c r="S89" s="145"/>
      <c r="T89" s="145"/>
      <c r="U89" s="145"/>
      <c r="V89" s="145"/>
      <c r="W89" s="145"/>
      <c r="Y89" s="152">
        <f t="shared" si="6"/>
        <v>4</v>
      </c>
      <c r="Z89" s="165"/>
    </row>
    <row r="90">
      <c r="A90" s="140">
        <f t="shared" si="1"/>
        <v>81</v>
      </c>
      <c r="B90" s="141" t="str">
        <f t="array" ref="B90">XLOOKUP(D90,'GSM T4.2026'!$B$1:$B$996,'GSM T4.2026'!$C$1:$C$996)</f>
        <v>13/06/2025</v>
      </c>
      <c r="C90" s="142" t="str">
        <f t="array" ref="C90">XLOOKUP(F90,'GSM T4.2026'!D:D,'GSM T4.2026'!F:F)</f>
        <v>Hồ Xuân Thịnh</v>
      </c>
      <c r="D90" s="143" t="str">
        <f t="array" ref="D90">XLOOKUP(F90,'GSM T4.2026'!$D:$D,'GSM T4.2026'!$B:$B)</f>
        <v>A105</v>
      </c>
      <c r="E90" s="144" t="str">
        <f t="array" ref="E90">XLOOKUP(F90,'GSM T4.2026'!D:D,'GSM T4.2026'!$E:$E)</f>
        <v>HCM 021</v>
      </c>
      <c r="F90" s="145" t="s">
        <v>576</v>
      </c>
      <c r="G90" s="146">
        <v>45952.0</v>
      </c>
      <c r="H90" s="147">
        <f t="shared" ref="H90:H99" si="35">TODAY()-G90</f>
        <v>218</v>
      </c>
      <c r="I90" s="148">
        <v>46156.0</v>
      </c>
      <c r="J90" s="149">
        <f t="shared" ref="J90:J106" si="36">I90-2</f>
        <v>46154</v>
      </c>
      <c r="K90" s="150">
        <f>I90-3</f>
        <v>46153</v>
      </c>
      <c r="L90" s="147" t="s">
        <v>566</v>
      </c>
      <c r="M90" s="14" t="s">
        <v>7</v>
      </c>
      <c r="N90" s="162" t="s">
        <v>577</v>
      </c>
      <c r="O90" s="152">
        <f t="shared" si="5"/>
        <v>0</v>
      </c>
      <c r="P90" s="153" t="s">
        <v>438</v>
      </c>
      <c r="Q90" s="151"/>
      <c r="R90" s="151"/>
      <c r="S90" s="151"/>
      <c r="T90" s="151"/>
      <c r="U90" s="151"/>
      <c r="V90" s="151"/>
      <c r="W90" s="183"/>
      <c r="X90" s="157"/>
      <c r="Y90" s="152">
        <f t="shared" si="6"/>
        <v>5</v>
      </c>
      <c r="Z90" s="152"/>
    </row>
    <row r="91" hidden="1">
      <c r="A91" s="140">
        <f t="shared" si="1"/>
        <v>82</v>
      </c>
      <c r="B91" s="141" t="str">
        <f t="array" ref="B91">XLOOKUP(D91,'GSM T4.2026'!$B$1:$B$996,'GSM T4.2026'!$C$1:$C$996)</f>
        <v>30/11/2024</v>
      </c>
      <c r="C91" s="142" t="str">
        <f t="array" ref="C91">XLOOKUP(F91,'GSM T4.2026'!D:D,'GSM T4.2026'!F:F)</f>
        <v>Nguyễn Bữu Trùng Dương</v>
      </c>
      <c r="D91" s="143" t="str">
        <f t="array" ref="D91">XLOOKUP(F91,'GSM T4.2026'!$D:$D,'GSM T4.2026'!$B:$B)</f>
        <v>CHR</v>
      </c>
      <c r="E91" s="144" t="str">
        <f t="array" ref="E91">XLOOKUP(F91,'GSM T4.2026'!D:D,'GSM T4.2026'!$E:$E)</f>
        <v>HCM 017</v>
      </c>
      <c r="F91" s="145" t="s">
        <v>578</v>
      </c>
      <c r="G91" s="146">
        <v>45770.0</v>
      </c>
      <c r="H91" s="147">
        <f t="shared" si="35"/>
        <v>400</v>
      </c>
      <c r="I91" s="148"/>
      <c r="J91" s="149">
        <f t="shared" si="36"/>
        <v>-2</v>
      </c>
      <c r="K91" s="150">
        <f t="shared" ref="K91:K110" si="37">I91-4</f>
        <v>-4</v>
      </c>
      <c r="L91" s="147"/>
      <c r="M91" s="157"/>
      <c r="N91" s="151"/>
      <c r="O91" s="152">
        <f t="shared" si="5"/>
        <v>0</v>
      </c>
      <c r="P91" s="151"/>
      <c r="Q91" s="151"/>
      <c r="R91" s="151"/>
      <c r="S91" s="151"/>
      <c r="T91" s="151"/>
      <c r="U91" s="151"/>
      <c r="V91" s="151"/>
      <c r="W91" s="158"/>
      <c r="X91" s="157"/>
      <c r="Y91" s="152">
        <f t="shared" si="6"/>
        <v>12</v>
      </c>
      <c r="Z91" s="152"/>
    </row>
    <row r="92" hidden="1">
      <c r="A92" s="140">
        <f t="shared" si="1"/>
        <v>83</v>
      </c>
      <c r="B92" s="141">
        <f t="array" ref="B92">XLOOKUP(D92,'GSM T4.2026'!$B$1:$B$996,'GSM T4.2026'!$C$1:$C$996)</f>
        <v>45241</v>
      </c>
      <c r="C92" s="142" t="str">
        <f t="array" ref="C92">XLOOKUP(F92,'GSM T4.2026'!D:D,'GSM T4.2026'!F:F)</f>
        <v>Nguyễn Bữu Trùng Dương</v>
      </c>
      <c r="D92" s="143" t="str">
        <f t="array" ref="D92">XLOOKUP(F92,'GSM T4.2026'!$D:$D,'GSM T4.2026'!$B:$B)</f>
        <v>BCG</v>
      </c>
      <c r="E92" s="144" t="str">
        <f t="array" ref="E92">XLOOKUP(F92,'GSM T4.2026'!D:D,'GSM T4.2026'!$E:$E)</f>
        <v>HCM 017</v>
      </c>
      <c r="F92" s="145" t="s">
        <v>579</v>
      </c>
      <c r="G92" s="146">
        <v>45790.0</v>
      </c>
      <c r="H92" s="147">
        <f t="shared" si="35"/>
        <v>380</v>
      </c>
      <c r="I92" s="148"/>
      <c r="J92" s="149">
        <f t="shared" si="36"/>
        <v>-2</v>
      </c>
      <c r="K92" s="150">
        <f t="shared" si="37"/>
        <v>-4</v>
      </c>
      <c r="L92" s="147"/>
      <c r="M92" s="157"/>
      <c r="N92" s="151"/>
      <c r="O92" s="152">
        <f t="shared" si="5"/>
        <v>0</v>
      </c>
      <c r="P92" s="180"/>
      <c r="Q92" s="151"/>
      <c r="R92" s="151"/>
      <c r="S92" s="151"/>
      <c r="T92" s="151"/>
      <c r="U92" s="151"/>
      <c r="V92" s="151"/>
      <c r="W92" s="158"/>
      <c r="X92" s="157"/>
      <c r="Y92" s="152">
        <f t="shared" si="6"/>
        <v>12</v>
      </c>
      <c r="Z92" s="152"/>
    </row>
    <row r="93" hidden="1">
      <c r="A93" s="140">
        <f t="shared" si="1"/>
        <v>84</v>
      </c>
      <c r="B93" s="141" t="str">
        <f t="array" ref="B93">XLOOKUP(D93,'GSM T4.2026'!$B$1:$B$996,'GSM T4.2026'!$C$1:$C$996)</f>
        <v>29/03/2025</v>
      </c>
      <c r="C93" s="142" t="str">
        <f t="array" ref="C93">XLOOKUP(F93,'GSM T4.2026'!D:D,'GSM T4.2026'!F:F)</f>
        <v>Nguyễn Bữu Trùng Dương</v>
      </c>
      <c r="D93" s="143" t="str">
        <f t="array" ref="D93">XLOOKUP(F93,'GSM T4.2026'!$D:$D,'GSM T4.2026'!$B:$B)</f>
        <v>OPS</v>
      </c>
      <c r="E93" s="144" t="str">
        <f t="array" ref="E93">XLOOKUP(F93,'GSM T4.2026'!D:D,'GSM T4.2026'!$E:$E)</f>
        <v>HCM 017</v>
      </c>
      <c r="F93" s="145" t="s">
        <v>580</v>
      </c>
      <c r="G93" s="146">
        <v>45790.0</v>
      </c>
      <c r="H93" s="147">
        <f t="shared" si="35"/>
        <v>380</v>
      </c>
      <c r="I93" s="148"/>
      <c r="J93" s="149">
        <f t="shared" si="36"/>
        <v>-2</v>
      </c>
      <c r="K93" s="150">
        <f t="shared" si="37"/>
        <v>-4</v>
      </c>
      <c r="L93" s="147"/>
      <c r="M93" s="157"/>
      <c r="N93" s="151"/>
      <c r="O93" s="152">
        <f t="shared" si="5"/>
        <v>0</v>
      </c>
      <c r="P93" s="151"/>
      <c r="Q93" s="151"/>
      <c r="R93" s="151"/>
      <c r="S93" s="151"/>
      <c r="T93" s="151"/>
      <c r="U93" s="151"/>
      <c r="V93" s="151"/>
      <c r="W93" s="158"/>
      <c r="X93" s="157"/>
      <c r="Y93" s="152">
        <f t="shared" si="6"/>
        <v>12</v>
      </c>
      <c r="Z93" s="152"/>
    </row>
    <row r="94" hidden="1">
      <c r="A94" s="140">
        <f t="shared" si="1"/>
        <v>85</v>
      </c>
      <c r="B94" s="141" t="str">
        <f t="array" ref="B94">XLOOKUP(D94,'GSM T4.2026'!$B$1:$B$996,'GSM T4.2026'!$C$1:$C$996)</f>
        <v>26/10/2024</v>
      </c>
      <c r="C94" s="142" t="str">
        <f t="array" ref="C94">XLOOKUP(F94,'GSM T4.2026'!D:D,'GSM T4.2026'!F:F)</f>
        <v>Nguyễn Bữu Trùng Dương</v>
      </c>
      <c r="D94" s="143" t="str">
        <f t="array" ref="D94">XLOOKUP(F94,'GSM T4.2026'!$D:$D,'GSM T4.2026'!$B:$B)</f>
        <v>EMR</v>
      </c>
      <c r="E94" s="144" t="str">
        <f t="array" ref="E94">XLOOKUP(F94,'GSM T4.2026'!D:D,'GSM T4.2026'!$E:$E)</f>
        <v>HCM 017</v>
      </c>
      <c r="F94" s="145" t="s">
        <v>581</v>
      </c>
      <c r="G94" s="146">
        <v>45860.0</v>
      </c>
      <c r="H94" s="147">
        <f t="shared" si="35"/>
        <v>310</v>
      </c>
      <c r="I94" s="148"/>
      <c r="J94" s="149">
        <f t="shared" si="36"/>
        <v>-2</v>
      </c>
      <c r="K94" s="150">
        <f t="shared" si="37"/>
        <v>-4</v>
      </c>
      <c r="L94" s="147"/>
      <c r="M94" s="157"/>
      <c r="N94" s="151"/>
      <c r="O94" s="152">
        <f t="shared" si="5"/>
        <v>0</v>
      </c>
      <c r="P94" s="180"/>
      <c r="Q94" s="151"/>
      <c r="R94" s="151"/>
      <c r="S94" s="151"/>
      <c r="T94" s="151"/>
      <c r="U94" s="151"/>
      <c r="V94" s="151"/>
      <c r="W94" s="158"/>
      <c r="X94" s="162"/>
      <c r="Y94" s="152">
        <f t="shared" si="6"/>
        <v>12</v>
      </c>
      <c r="Z94" s="152"/>
    </row>
    <row r="95" hidden="1">
      <c r="A95" s="140">
        <f t="shared" si="1"/>
        <v>86</v>
      </c>
      <c r="B95" s="141" t="str">
        <f t="array" ref="B95">XLOOKUP(D95,'GSM T4.2026'!$B$1:$B$996,'GSM T4.2026'!$C$1:$C$996)</f>
        <v>18/10/2025</v>
      </c>
      <c r="C95" s="142" t="str">
        <f t="array" ref="C95">XLOOKUP(F95,'GSM T4.2026'!D:D,'GSM T4.2026'!F:F)</f>
        <v>Nguyễn Bữu Trùng Dương</v>
      </c>
      <c r="D95" s="143" t="str">
        <f t="array" ref="D95">XLOOKUP(F95,'GSM T4.2026'!$D:$D,'GSM T4.2026'!$B:$B)</f>
        <v>A117</v>
      </c>
      <c r="E95" s="144" t="str">
        <f t="array" ref="E95">XLOOKUP(F95,'GSM T4.2026'!D:D,'GSM T4.2026'!$E:$E)</f>
        <v>HCM 017</v>
      </c>
      <c r="F95" s="145" t="s">
        <v>582</v>
      </c>
      <c r="G95" s="146">
        <v>46009.0</v>
      </c>
      <c r="H95" s="147">
        <f t="shared" si="35"/>
        <v>161</v>
      </c>
      <c r="I95" s="148"/>
      <c r="J95" s="149">
        <f t="shared" si="36"/>
        <v>-2</v>
      </c>
      <c r="K95" s="150">
        <f t="shared" si="37"/>
        <v>-4</v>
      </c>
      <c r="L95" s="147"/>
      <c r="M95" s="157"/>
      <c r="N95" s="151"/>
      <c r="O95" s="152">
        <f t="shared" si="5"/>
        <v>0</v>
      </c>
      <c r="P95" s="176"/>
      <c r="Q95" s="151"/>
      <c r="R95" s="151"/>
      <c r="S95" s="151"/>
      <c r="T95" s="151"/>
      <c r="U95" s="151"/>
      <c r="V95" s="151"/>
      <c r="W95" s="183"/>
      <c r="X95" s="184"/>
      <c r="Y95" s="152">
        <f t="shared" si="6"/>
        <v>12</v>
      </c>
      <c r="Z95" s="152"/>
    </row>
    <row r="96" hidden="1">
      <c r="A96" s="140">
        <f t="shared" si="1"/>
        <v>87</v>
      </c>
      <c r="B96" s="141">
        <f t="array" ref="B96">XLOOKUP(D96,'GSM T4.2026'!$B$1:$B$996,'GSM T4.2026'!$C$1:$C$996)</f>
        <v>45870</v>
      </c>
      <c r="C96" s="142" t="str">
        <f t="array" ref="C96">XLOOKUP(F96,'GSM T4.2026'!D:D,'GSM T4.2026'!F:F)</f>
        <v>Nguyễn Đình Vũ</v>
      </c>
      <c r="D96" s="143" t="str">
        <f t="array" ref="D96">XLOOKUP(F96,'GSM T4.2026'!$D:$D,'GSM T4.2026'!$B:$B)</f>
        <v>A107</v>
      </c>
      <c r="E96" s="144" t="str">
        <f t="array" ref="E96">XLOOKUP(F96,'GSM T4.2026'!D:D,'GSM T4.2026'!$E:$E)</f>
        <v>HCM 006</v>
      </c>
      <c r="F96" s="145" t="s">
        <v>583</v>
      </c>
      <c r="G96" s="146">
        <v>45952.0</v>
      </c>
      <c r="H96" s="147">
        <f t="shared" si="35"/>
        <v>218</v>
      </c>
      <c r="I96" s="148"/>
      <c r="J96" s="149">
        <f t="shared" si="36"/>
        <v>-2</v>
      </c>
      <c r="K96" s="150">
        <f t="shared" si="37"/>
        <v>-4</v>
      </c>
      <c r="L96" s="147"/>
      <c r="M96" s="157"/>
      <c r="N96" s="151"/>
      <c r="O96" s="152">
        <f t="shared" si="5"/>
        <v>0</v>
      </c>
      <c r="P96" s="180"/>
      <c r="Q96" s="151"/>
      <c r="R96" s="151"/>
      <c r="S96" s="151"/>
      <c r="T96" s="151"/>
      <c r="U96" s="151"/>
      <c r="V96" s="151"/>
      <c r="W96" s="185"/>
      <c r="X96" s="157"/>
      <c r="Y96" s="152">
        <f t="shared" si="6"/>
        <v>12</v>
      </c>
      <c r="Z96" s="152"/>
    </row>
    <row r="97" hidden="1">
      <c r="A97" s="140">
        <f t="shared" si="1"/>
        <v>88</v>
      </c>
      <c r="B97" s="141" t="str">
        <f t="array" ref="B97">XLOOKUP(D97,'GSM T4.2026'!$B$1:$B$996,'GSM T4.2026'!$C$1:$C$996)</f>
        <v>27/09/2024</v>
      </c>
      <c r="C97" s="142" t="str">
        <f t="array" ref="C97">XLOOKUP(F97,'GSM T4.2026'!D:D,'GSM T4.2026'!F:F)</f>
        <v>Nguyễn Thị Ngọc Thảo</v>
      </c>
      <c r="D97" s="143" t="str">
        <f t="array" ref="D97">XLOOKUP(F97,'GSM T4.2026'!$D:$D,'GSM T4.2026'!$B:$B)</f>
        <v>BTH</v>
      </c>
      <c r="E97" s="144" t="str">
        <f t="array" ref="E97">XLOOKUP(F97,'GSM T4.2026'!D:D,'GSM T4.2026'!$E:$E)</f>
        <v>HCM 012</v>
      </c>
      <c r="F97" s="145" t="s">
        <v>584</v>
      </c>
      <c r="G97" s="146">
        <v>45957.0</v>
      </c>
      <c r="H97" s="147">
        <f t="shared" si="35"/>
        <v>213</v>
      </c>
      <c r="I97" s="148">
        <v>46131.0</v>
      </c>
      <c r="J97" s="149">
        <f t="shared" si="36"/>
        <v>46129</v>
      </c>
      <c r="K97" s="150">
        <f t="shared" si="37"/>
        <v>46127</v>
      </c>
      <c r="L97" s="147" t="s">
        <v>585</v>
      </c>
      <c r="M97" s="14" t="s">
        <v>7</v>
      </c>
      <c r="N97" s="159">
        <v>46360.0</v>
      </c>
      <c r="O97" s="152">
        <f t="shared" si="5"/>
        <v>0</v>
      </c>
      <c r="P97" s="153" t="s">
        <v>438</v>
      </c>
      <c r="Q97" s="154"/>
      <c r="R97" s="154"/>
      <c r="S97" s="154"/>
      <c r="T97" s="154"/>
      <c r="U97" s="154"/>
      <c r="V97" s="154"/>
      <c r="W97" s="154"/>
      <c r="X97" s="154"/>
      <c r="Y97" s="152">
        <f t="shared" si="6"/>
        <v>4</v>
      </c>
      <c r="Z97" s="165"/>
    </row>
    <row r="98" hidden="1">
      <c r="A98" s="140">
        <f t="shared" si="1"/>
        <v>89</v>
      </c>
      <c r="B98" s="141" t="str">
        <f t="array" ref="B98">XLOOKUP(D98,'GSM T4.2026'!$B$1:$B$996,'GSM T4.2026'!$C$1:$C$996)</f>
        <v>17/08/2024</v>
      </c>
      <c r="C98" s="142" t="str">
        <f t="array" ref="C98">XLOOKUP(F98,'GSM T4.2026'!D:D,'GSM T4.2026'!F:F)</f>
        <v>Nguyễn Văn Lâm</v>
      </c>
      <c r="D98" s="143" t="str">
        <f t="array" ref="D98">XLOOKUP(F98,'GSM T4.2026'!$D:$D,'GSM T4.2026'!$B:$B)</f>
        <v>JKD</v>
      </c>
      <c r="E98" s="144" t="str">
        <f t="array" ref="E98">XLOOKUP(F98,'GSM T4.2026'!D:D,'GSM T4.2026'!$E:$E)</f>
        <v>HCM 007</v>
      </c>
      <c r="F98" s="145" t="s">
        <v>586</v>
      </c>
      <c r="G98" s="146">
        <v>45914.0</v>
      </c>
      <c r="H98" s="147">
        <f t="shared" si="35"/>
        <v>256</v>
      </c>
      <c r="I98" s="148"/>
      <c r="J98" s="149">
        <f t="shared" si="36"/>
        <v>-2</v>
      </c>
      <c r="K98" s="150">
        <f t="shared" si="37"/>
        <v>-4</v>
      </c>
      <c r="L98" s="147"/>
      <c r="M98" s="157"/>
      <c r="N98" s="151"/>
      <c r="O98" s="152">
        <f t="shared" si="5"/>
        <v>0</v>
      </c>
      <c r="P98" s="179"/>
      <c r="Q98" s="151"/>
      <c r="R98" s="151"/>
      <c r="S98" s="151"/>
      <c r="T98" s="151"/>
      <c r="U98" s="151"/>
      <c r="V98" s="151"/>
      <c r="W98" s="154"/>
      <c r="X98" s="157"/>
      <c r="Y98" s="152">
        <f t="shared" si="6"/>
        <v>12</v>
      </c>
      <c r="Z98" s="152"/>
    </row>
    <row r="99" hidden="1">
      <c r="A99" s="140">
        <f t="shared" si="1"/>
        <v>90</v>
      </c>
      <c r="B99" s="141">
        <f t="array" ref="B99">XLOOKUP(D99,'GSM T4.2026'!$B$1:$B$996,'GSM T4.2026'!$C$1:$C$996)</f>
        <v>45388</v>
      </c>
      <c r="C99" s="142" t="str">
        <f t="array" ref="C99">XLOOKUP(F99,'GSM T4.2026'!D:D,'GSM T4.2026'!F:F)</f>
        <v>Nguyễn Đình Vũ</v>
      </c>
      <c r="D99" s="143" t="str">
        <f t="array" ref="D99">XLOOKUP(F99,'GSM T4.2026'!$D:$D,'GSM T4.2026'!$B:$B)</f>
        <v>GHA</v>
      </c>
      <c r="E99" s="144" t="str">
        <f t="array" ref="E99">XLOOKUP(F99,'GSM T4.2026'!D:D,'GSM T4.2026'!$E:$E)</f>
        <v>HCM 006</v>
      </c>
      <c r="F99" s="145" t="s">
        <v>587</v>
      </c>
      <c r="G99" s="146">
        <v>45878.0</v>
      </c>
      <c r="H99" s="147">
        <f t="shared" si="35"/>
        <v>292</v>
      </c>
      <c r="I99" s="148"/>
      <c r="J99" s="149">
        <f t="shared" si="36"/>
        <v>-2</v>
      </c>
      <c r="K99" s="150">
        <f t="shared" si="37"/>
        <v>-4</v>
      </c>
      <c r="L99" s="147"/>
      <c r="M99" s="157"/>
      <c r="N99" s="151"/>
      <c r="O99" s="152">
        <f t="shared" si="5"/>
        <v>0</v>
      </c>
      <c r="P99" s="151"/>
      <c r="Q99" s="151"/>
      <c r="R99" s="151"/>
      <c r="S99" s="151"/>
      <c r="T99" s="151"/>
      <c r="U99" s="151"/>
      <c r="V99" s="151"/>
      <c r="W99" s="158"/>
      <c r="X99" s="157"/>
      <c r="Y99" s="152">
        <f t="shared" si="6"/>
        <v>12</v>
      </c>
      <c r="Z99" s="152"/>
    </row>
    <row r="100">
      <c r="A100" s="140">
        <f t="shared" si="1"/>
        <v>91</v>
      </c>
      <c r="B100" s="141" t="str">
        <f t="array" ref="B100">XLOOKUP(D100,'GSM T4.2026'!$B$1:$B$996,'GSM T4.2026'!$C$1:$C$996)</f>
        <v>15/01/2025</v>
      </c>
      <c r="C100" s="142" t="str">
        <f t="array" ref="C100">XLOOKUP(F100,'GSM T4.2026'!D:D,'GSM T4.2026'!F:F)</f>
        <v>Trần Thanh Hiền</v>
      </c>
      <c r="D100" s="143" t="str">
        <f t="array" ref="D100">XLOOKUP(F100,'GSM T4.2026'!$D:$D,'GSM T4.2026'!$B:$B)</f>
        <v>A130</v>
      </c>
      <c r="E100" s="144" t="str">
        <f t="array" ref="E100">XLOOKUP(F100,'GSM T4.2026'!D:D,'GSM T4.2026'!$E:$E)</f>
        <v>HCM 019</v>
      </c>
      <c r="F100" s="145" t="s">
        <v>588</v>
      </c>
      <c r="G100" s="147" t="s">
        <v>444</v>
      </c>
      <c r="H100" s="147" t="s">
        <v>444</v>
      </c>
      <c r="I100" s="148">
        <v>46157.0</v>
      </c>
      <c r="J100" s="149">
        <f t="shared" si="36"/>
        <v>46155</v>
      </c>
      <c r="K100" s="150">
        <f t="shared" si="37"/>
        <v>46153</v>
      </c>
      <c r="L100" s="147" t="s">
        <v>566</v>
      </c>
      <c r="M100" s="14" t="s">
        <v>7</v>
      </c>
      <c r="N100" s="162" t="s">
        <v>589</v>
      </c>
      <c r="O100" s="152">
        <f t="shared" si="5"/>
        <v>0</v>
      </c>
      <c r="P100" s="153" t="s">
        <v>438</v>
      </c>
      <c r="Q100" s="154"/>
      <c r="R100" s="154"/>
      <c r="S100" s="154"/>
      <c r="T100" s="154"/>
      <c r="U100" s="154"/>
      <c r="V100" s="154"/>
      <c r="W100" s="154"/>
      <c r="X100" s="154"/>
      <c r="Y100" s="152">
        <f t="shared" si="6"/>
        <v>5</v>
      </c>
      <c r="Z100" s="152"/>
    </row>
    <row r="101" hidden="1">
      <c r="A101" s="140">
        <f t="shared" si="1"/>
        <v>92</v>
      </c>
      <c r="B101" s="141" t="str">
        <f t="array" ref="B101">XLOOKUP(D101,'GSM T4.2026'!$B$1:$B$996,'GSM T4.2026'!$C$1:$C$996)</f>
        <v>22/01/2022</v>
      </c>
      <c r="C101" s="142" t="str">
        <f t="array" ref="C101">XLOOKUP(F101,'GSM T4.2026'!D:D,'GSM T4.2026'!F:F)</f>
        <v>Nguyễn Thuỷ Tiên</v>
      </c>
      <c r="D101" s="143" t="str">
        <f t="array" ref="D101">XLOOKUP(F101,'GSM T4.2026'!$D:$D,'GSM T4.2026'!$B:$B)</f>
        <v>NTT</v>
      </c>
      <c r="E101" s="144" t="str">
        <f t="array" ref="E101">XLOOKUP(F101,'GSM T4.2026'!D:D,'GSM T4.2026'!$E:$E)</f>
        <v>HCM 003</v>
      </c>
      <c r="F101" s="145" t="s">
        <v>590</v>
      </c>
      <c r="G101" s="146">
        <v>45968.0</v>
      </c>
      <c r="H101" s="147">
        <f t="shared" ref="H101:H104" si="38">TODAY()-G101</f>
        <v>202</v>
      </c>
      <c r="I101" s="148"/>
      <c r="J101" s="149">
        <f t="shared" si="36"/>
        <v>-2</v>
      </c>
      <c r="K101" s="150">
        <f t="shared" si="37"/>
        <v>-4</v>
      </c>
      <c r="L101" s="147"/>
      <c r="M101" s="186"/>
      <c r="N101" s="151"/>
      <c r="O101" s="152">
        <f t="shared" si="5"/>
        <v>0</v>
      </c>
      <c r="P101" s="179"/>
      <c r="Q101" s="157"/>
      <c r="R101" s="157"/>
      <c r="S101" s="157"/>
      <c r="T101" s="157"/>
      <c r="U101" s="157"/>
      <c r="V101" s="157"/>
      <c r="W101" s="161"/>
      <c r="X101" s="161"/>
      <c r="Y101" s="152">
        <f t="shared" si="6"/>
        <v>12</v>
      </c>
      <c r="Z101" s="152"/>
    </row>
    <row r="102" hidden="1">
      <c r="A102" s="140">
        <f t="shared" si="1"/>
        <v>93</v>
      </c>
      <c r="B102" s="141" t="str">
        <f t="array" ref="B102">XLOOKUP(D102,'GSM T4.2026'!$B$1:$B$996,'GSM T4.2026'!$C$1:$C$996)</f>
        <v>21/12/2024</v>
      </c>
      <c r="C102" s="142" t="str">
        <f t="array" ref="C102">XLOOKUP(F102,'GSM T4.2026'!D:D,'GSM T4.2026'!F:F)</f>
        <v>Nguyễn Minh Thắng</v>
      </c>
      <c r="D102" s="143" t="str">
        <f t="array" ref="D102">XLOOKUP(F102,'GSM T4.2026'!$D:$D,'GSM T4.2026'!$B:$B)</f>
        <v>SCV</v>
      </c>
      <c r="E102" s="144" t="str">
        <f t="array" ref="E102">XLOOKUP(F102,'GSM T4.2026'!D:D,'GSM T4.2026'!$E:$E)</f>
        <v>HCM 001</v>
      </c>
      <c r="F102" s="145" t="s">
        <v>591</v>
      </c>
      <c r="G102" s="146">
        <v>46002.0</v>
      </c>
      <c r="H102" s="147">
        <f t="shared" si="38"/>
        <v>168</v>
      </c>
      <c r="I102" s="148"/>
      <c r="J102" s="149">
        <f t="shared" si="36"/>
        <v>-2</v>
      </c>
      <c r="K102" s="150">
        <f t="shared" si="37"/>
        <v>-4</v>
      </c>
      <c r="L102" s="147"/>
      <c r="M102" s="175"/>
      <c r="N102" s="151"/>
      <c r="O102" s="152">
        <f t="shared" si="5"/>
        <v>0</v>
      </c>
      <c r="P102" s="162"/>
      <c r="Q102" s="162"/>
      <c r="R102" s="162"/>
      <c r="S102" s="162"/>
      <c r="T102" s="162"/>
      <c r="U102" s="162"/>
      <c r="V102" s="162"/>
      <c r="W102" s="154"/>
      <c r="X102" s="151"/>
      <c r="Y102" s="152">
        <f t="shared" si="6"/>
        <v>12</v>
      </c>
      <c r="Z102" s="152"/>
    </row>
    <row r="103" hidden="1">
      <c r="A103" s="140">
        <f t="shared" si="1"/>
        <v>94</v>
      </c>
      <c r="B103" s="141" t="str">
        <f t="array" ref="B103">XLOOKUP(D103,'GSM T4.2026'!$B$1:$B$996,'GSM T4.2026'!$C$1:$C$996)</f>
        <v>20/07/2024</v>
      </c>
      <c r="C103" s="142" t="str">
        <f t="array" ref="C103">XLOOKUP(F103,'GSM T4.2026'!D:D,'GSM T4.2026'!F:F)</f>
        <v>Nguyễn Minh Thắng</v>
      </c>
      <c r="D103" s="143" t="str">
        <f t="array" ref="D103">XLOOKUP(F103,'GSM T4.2026'!$D:$D,'GSM T4.2026'!$B:$B)</f>
        <v>HV2</v>
      </c>
      <c r="E103" s="144" t="str">
        <f t="array" ref="E103">XLOOKUP(F103,'GSM T4.2026'!D:D,'GSM T4.2026'!$E:$E)</f>
        <v>HCM 001</v>
      </c>
      <c r="F103" s="145" t="s">
        <v>592</v>
      </c>
      <c r="G103" s="146">
        <v>46014.0</v>
      </c>
      <c r="H103" s="147">
        <f t="shared" si="38"/>
        <v>156</v>
      </c>
      <c r="I103" s="148"/>
      <c r="J103" s="149">
        <f t="shared" si="36"/>
        <v>-2</v>
      </c>
      <c r="K103" s="150">
        <f t="shared" si="37"/>
        <v>-4</v>
      </c>
      <c r="L103" s="147"/>
      <c r="M103" s="175"/>
      <c r="N103" s="151"/>
      <c r="O103" s="152">
        <f t="shared" si="5"/>
        <v>0</v>
      </c>
      <c r="P103" s="176"/>
      <c r="Q103" s="151"/>
      <c r="R103" s="151"/>
      <c r="S103" s="151"/>
      <c r="T103" s="151"/>
      <c r="U103" s="151"/>
      <c r="V103" s="151"/>
      <c r="W103" s="151"/>
      <c r="X103" s="151"/>
      <c r="Y103" s="152">
        <f t="shared" si="6"/>
        <v>12</v>
      </c>
      <c r="Z103" s="152"/>
    </row>
    <row r="104" hidden="1">
      <c r="A104" s="140">
        <f t="shared" si="1"/>
        <v>95</v>
      </c>
      <c r="B104" s="141" t="str">
        <f t="array" ref="B104">XLOOKUP(D104,'GSM T4.2026'!$B$1:$B$996,'GSM T4.2026'!$C$1:$C$996)</f>
        <v>16/08/2024</v>
      </c>
      <c r="C104" s="142" t="str">
        <f t="array" ref="C104">XLOOKUP(F104,'GSM T4.2026'!D:D,'GSM T4.2026'!F:F)</f>
        <v>Nguyễn Thuỷ Tiên</v>
      </c>
      <c r="D104" s="143" t="str">
        <f t="array" ref="D104">XLOOKUP(F104,'GSM T4.2026'!$D:$D,'GSM T4.2026'!$B:$B)</f>
        <v>D10</v>
      </c>
      <c r="E104" s="144" t="str">
        <f t="array" ref="E104">XLOOKUP(F104,'GSM T4.2026'!D:D,'GSM T4.2026'!$E:$E)</f>
        <v>HCM 003</v>
      </c>
      <c r="F104" s="145" t="s">
        <v>593</v>
      </c>
      <c r="G104" s="146">
        <v>45945.0</v>
      </c>
      <c r="H104" s="147">
        <f t="shared" si="38"/>
        <v>225</v>
      </c>
      <c r="I104" s="148"/>
      <c r="J104" s="149">
        <f t="shared" si="36"/>
        <v>-2</v>
      </c>
      <c r="K104" s="150">
        <f t="shared" si="37"/>
        <v>-4</v>
      </c>
      <c r="L104" s="147"/>
      <c r="M104" s="157"/>
      <c r="N104" s="151"/>
      <c r="O104" s="152">
        <f t="shared" si="5"/>
        <v>0</v>
      </c>
      <c r="P104" s="151"/>
      <c r="Q104" s="151"/>
      <c r="R104" s="151"/>
      <c r="S104" s="142"/>
      <c r="T104" s="151"/>
      <c r="U104" s="151"/>
      <c r="V104" s="151"/>
      <c r="W104" s="161"/>
      <c r="X104" s="161"/>
      <c r="Y104" s="152">
        <f t="shared" si="6"/>
        <v>12</v>
      </c>
      <c r="Z104" s="152"/>
    </row>
    <row r="105" hidden="1">
      <c r="A105" s="140">
        <f t="shared" si="1"/>
        <v>96</v>
      </c>
      <c r="B105" s="141" t="str">
        <f t="array" ref="B105">XLOOKUP(D105,'GSM T4.2026'!$B$1:$B$996,'GSM T4.2026'!$C$1:$C$996)</f>
        <v>23/01/2026</v>
      </c>
      <c r="C105" s="142" t="str">
        <f t="array" ref="C105">XLOOKUP(F105,'GSM T4.2026'!D:D,'GSM T4.2026'!F:F)</f>
        <v>Lê Ngọc Thảo</v>
      </c>
      <c r="D105" s="143" t="str">
        <f t="array" ref="D105">XLOOKUP(F105,'GSM T4.2026'!$D:$D,'GSM T4.2026'!$B:$B)</f>
        <v>A151</v>
      </c>
      <c r="E105" s="144" t="str">
        <f t="array" ref="E105">XLOOKUP(F105,'GSM T4.2026'!D:D,'GSM T4.2026'!$E:$E)</f>
        <v>HCM 008</v>
      </c>
      <c r="F105" s="145" t="s">
        <v>594</v>
      </c>
      <c r="G105" s="147" t="s">
        <v>444</v>
      </c>
      <c r="H105" s="147" t="s">
        <v>444</v>
      </c>
      <c r="I105" s="148">
        <v>46131.0</v>
      </c>
      <c r="J105" s="149">
        <f t="shared" si="36"/>
        <v>46129</v>
      </c>
      <c r="K105" s="150">
        <f t="shared" si="37"/>
        <v>46127</v>
      </c>
      <c r="L105" s="147" t="s">
        <v>585</v>
      </c>
      <c r="M105" s="14" t="s">
        <v>7</v>
      </c>
      <c r="N105" s="159"/>
      <c r="O105" s="152">
        <f t="shared" si="5"/>
        <v>0</v>
      </c>
      <c r="P105" s="153" t="s">
        <v>449</v>
      </c>
      <c r="Q105" s="145"/>
      <c r="R105" s="145"/>
      <c r="S105" s="145"/>
      <c r="T105" s="145"/>
      <c r="U105" s="145"/>
      <c r="V105" s="145"/>
      <c r="W105" s="145"/>
      <c r="Y105" s="152">
        <f t="shared" si="6"/>
        <v>4</v>
      </c>
      <c r="Z105" s="165"/>
    </row>
    <row r="106" ht="14.25" hidden="1" customHeight="1">
      <c r="A106" s="140">
        <f t="shared" si="1"/>
        <v>97</v>
      </c>
      <c r="B106" s="141">
        <f t="array" ref="B106">XLOOKUP(D106,'GSM T4.2026'!$B$1:$B$996,'GSM T4.2026'!$C$1:$C$996)</f>
        <v>45150</v>
      </c>
      <c r="C106" s="142" t="str">
        <f t="array" ref="C106">XLOOKUP(F106,'GSM T4.2026'!D:D,'GSM T4.2026'!F:F)</f>
        <v>Nguyễn Thị Ngọc Bích</v>
      </c>
      <c r="D106" s="143" t="str">
        <f t="array" ref="D106">XLOOKUP(F106,'GSM T4.2026'!$D:$D,'GSM T4.2026'!$B:$B)</f>
        <v>VGP</v>
      </c>
      <c r="E106" s="144" t="str">
        <f t="array" ref="E106">XLOOKUP(F106,'GSM T4.2026'!D:D,'GSM T4.2026'!$E:$E)</f>
        <v>HCM 005</v>
      </c>
      <c r="F106" s="145" t="s">
        <v>595</v>
      </c>
      <c r="G106" s="146">
        <v>45965.0</v>
      </c>
      <c r="H106" s="147">
        <f t="shared" ref="H106:H107" si="39">TODAY()-G106</f>
        <v>205</v>
      </c>
      <c r="I106" s="148"/>
      <c r="J106" s="149">
        <f t="shared" si="36"/>
        <v>-2</v>
      </c>
      <c r="K106" s="150">
        <f t="shared" si="37"/>
        <v>-4</v>
      </c>
      <c r="L106" s="147"/>
      <c r="M106" s="157"/>
      <c r="N106" s="151"/>
      <c r="O106" s="152">
        <f t="shared" si="5"/>
        <v>0</v>
      </c>
      <c r="P106" s="151"/>
      <c r="Q106" s="151"/>
      <c r="R106" s="151"/>
      <c r="S106" s="151"/>
      <c r="T106" s="151"/>
      <c r="U106" s="151"/>
      <c r="V106" s="151"/>
      <c r="W106" s="154"/>
      <c r="X106" s="157"/>
      <c r="Y106" s="152">
        <f t="shared" si="6"/>
        <v>12</v>
      </c>
      <c r="Z106" s="152"/>
    </row>
    <row r="107" hidden="1">
      <c r="A107" s="140">
        <f t="shared" si="1"/>
        <v>98</v>
      </c>
      <c r="B107" s="141" t="str">
        <f t="array" ref="B107">XLOOKUP(D107,'GSM T4.2026'!$B$1:$B$996,'GSM T4.2026'!$C$1:$C$996)</f>
        <v>25/07/2024</v>
      </c>
      <c r="C107" s="142" t="str">
        <f t="array" ref="C107">XLOOKUP(F107,'GSM T4.2026'!D:D,'GSM T4.2026'!F:F)</f>
        <v>Trần Hữu Vinh</v>
      </c>
      <c r="D107" s="143" t="str">
        <f t="array" ref="D107">XLOOKUP(F107,'GSM T4.2026'!$D:$D,'GSM T4.2026'!$B:$B)</f>
        <v>HHM</v>
      </c>
      <c r="E107" s="144" t="str">
        <f t="array" ref="E107">XLOOKUP(F107,'GSM T4.2026'!D:D,'GSM T4.2026'!$E:$E)</f>
        <v>HCM 015</v>
      </c>
      <c r="F107" s="145" t="s">
        <v>596</v>
      </c>
      <c r="G107" s="146">
        <v>45931.0</v>
      </c>
      <c r="H107" s="147">
        <f t="shared" si="39"/>
        <v>239</v>
      </c>
      <c r="I107" s="148">
        <v>46132.0</v>
      </c>
      <c r="J107" s="149">
        <f>I107-1</f>
        <v>46131</v>
      </c>
      <c r="K107" s="150">
        <f t="shared" si="37"/>
        <v>46128</v>
      </c>
      <c r="L107" s="147" t="s">
        <v>597</v>
      </c>
      <c r="M107" s="14" t="s">
        <v>7</v>
      </c>
      <c r="N107" s="159" t="s">
        <v>598</v>
      </c>
      <c r="O107" s="152">
        <f t="shared" si="5"/>
        <v>0</v>
      </c>
      <c r="P107" s="153" t="s">
        <v>438</v>
      </c>
      <c r="Q107" s="151"/>
      <c r="R107" s="151"/>
      <c r="S107" s="151"/>
      <c r="T107" s="151"/>
      <c r="U107" s="151"/>
      <c r="V107" s="151"/>
      <c r="W107" s="154"/>
      <c r="X107" s="157"/>
      <c r="Y107" s="152">
        <f t="shared" si="6"/>
        <v>4</v>
      </c>
      <c r="Z107" s="165"/>
    </row>
    <row r="108" hidden="1">
      <c r="A108" s="140">
        <f t="shared" si="1"/>
        <v>99</v>
      </c>
      <c r="B108" s="141" t="str">
        <f t="array" ref="B108">XLOOKUP(D108,'GSM T4.2026'!$B$1:$B$996,'GSM T4.2026'!$C$1:$C$996)</f>
        <v>15/01/2025</v>
      </c>
      <c r="C108" s="142" t="str">
        <f t="array" ref="C108">XLOOKUP(F108,'GSM T4.2026'!D:D,'GSM T4.2026'!F:F)</f>
        <v>Trần Thanh Hiền</v>
      </c>
      <c r="D108" s="143" t="str">
        <f t="array" ref="D108">XLOOKUP(F108,'GSM T4.2026'!$D:$D,'GSM T4.2026'!$B:$B)</f>
        <v>A130</v>
      </c>
      <c r="E108" s="144" t="str">
        <f t="array" ref="E108">XLOOKUP(F108,'GSM T4.2026'!D:D,'GSM T4.2026'!$E:$E)</f>
        <v>HCM 019</v>
      </c>
      <c r="F108" s="145" t="s">
        <v>588</v>
      </c>
      <c r="G108" s="147" t="s">
        <v>444</v>
      </c>
      <c r="H108" s="147" t="s">
        <v>444</v>
      </c>
      <c r="I108" s="148">
        <v>46132.0</v>
      </c>
      <c r="J108" s="149">
        <f>I108-2</f>
        <v>46130</v>
      </c>
      <c r="K108" s="150">
        <f t="shared" si="37"/>
        <v>46128</v>
      </c>
      <c r="L108" s="147" t="s">
        <v>597</v>
      </c>
      <c r="M108" s="14" t="s">
        <v>7</v>
      </c>
      <c r="N108" s="159"/>
      <c r="O108" s="152">
        <f t="shared" si="5"/>
        <v>0</v>
      </c>
      <c r="P108" s="153" t="s">
        <v>449</v>
      </c>
      <c r="Q108" s="151"/>
      <c r="R108" s="151"/>
      <c r="S108" s="151"/>
      <c r="T108" s="151"/>
      <c r="U108" s="151"/>
      <c r="V108" s="151"/>
      <c r="W108" s="158"/>
      <c r="X108" s="160"/>
      <c r="Y108" s="152">
        <f t="shared" si="6"/>
        <v>4</v>
      </c>
      <c r="Z108" s="165"/>
    </row>
    <row r="109">
      <c r="A109" s="140">
        <f t="shared" si="1"/>
        <v>100</v>
      </c>
      <c r="B109" s="141" t="str">
        <f t="array" ref="B109">XLOOKUP(D109,'GSM T4.2026'!$B$1:$B$996,'GSM T4.2026'!$C$1:$C$996)</f>
        <v>23/01/2026</v>
      </c>
      <c r="C109" s="142" t="str">
        <f t="array" ref="C109">XLOOKUP(F109,'GSM T4.2026'!D:D,'GSM T4.2026'!F:F)</f>
        <v>Nguyễn Thị Ngọc Giàu</v>
      </c>
      <c r="D109" s="143" t="str">
        <f t="array" ref="D109">XLOOKUP(F109,'GSM T4.2026'!$D:$D,'GSM T4.2026'!$B:$B)</f>
        <v>A149</v>
      </c>
      <c r="E109" s="144" t="str">
        <f t="array" ref="E109">XLOOKUP(F109,'GSM T4.2026'!D:D,'GSM T4.2026'!$E:$E)</f>
        <v>HCM 031</v>
      </c>
      <c r="F109" s="145" t="s">
        <v>599</v>
      </c>
      <c r="G109" s="113" t="s">
        <v>444</v>
      </c>
      <c r="H109" s="147" t="s">
        <v>444</v>
      </c>
      <c r="I109" s="148">
        <v>46157.0</v>
      </c>
      <c r="J109" s="149">
        <f>I109-1</f>
        <v>46156</v>
      </c>
      <c r="K109" s="150">
        <f t="shared" si="37"/>
        <v>46153</v>
      </c>
      <c r="L109" s="147" t="s">
        <v>566</v>
      </c>
      <c r="M109" s="14" t="s">
        <v>7</v>
      </c>
      <c r="N109" s="162"/>
      <c r="O109" s="152">
        <f t="shared" si="5"/>
        <v>0</v>
      </c>
      <c r="P109" s="153" t="s">
        <v>449</v>
      </c>
      <c r="Q109" s="145"/>
      <c r="R109" s="145"/>
      <c r="S109" s="145"/>
      <c r="T109" s="145"/>
      <c r="U109" s="145"/>
      <c r="V109" s="145"/>
      <c r="W109" s="145"/>
      <c r="Y109" s="152">
        <f t="shared" si="6"/>
        <v>5</v>
      </c>
      <c r="Z109" s="152"/>
    </row>
    <row r="110" hidden="1">
      <c r="A110" s="140">
        <f t="shared" si="1"/>
        <v>101</v>
      </c>
      <c r="B110" s="141" t="str">
        <f t="array" ref="B110">XLOOKUP(D110,'GSM T4.2026'!$B$1:$B$996,'GSM T4.2026'!$C$1:$C$996)</f>
        <v>30/11/2024</v>
      </c>
      <c r="C110" s="142" t="str">
        <f t="array" ref="C110">XLOOKUP(F110,'GSM T4.2026'!D:D,'GSM T4.2026'!F:F)</f>
        <v>Lê Huỳnh Thiện</v>
      </c>
      <c r="D110" s="143" t="str">
        <f t="array" ref="D110">XLOOKUP(F110,'GSM T4.2026'!$D:$D,'GSM T4.2026'!$B:$B)</f>
        <v>PPZ</v>
      </c>
      <c r="E110" s="144" t="str">
        <f t="array" ref="E110">XLOOKUP(F110,'GSM T4.2026'!D:D,'GSM T4.2026'!$E:$E)</f>
        <v>HCM 009</v>
      </c>
      <c r="F110" s="145" t="s">
        <v>600</v>
      </c>
      <c r="G110" s="146">
        <v>45971.0</v>
      </c>
      <c r="H110" s="147">
        <f t="shared" ref="H110:H113" si="40">TODAY()-G110</f>
        <v>199</v>
      </c>
      <c r="I110" s="148"/>
      <c r="J110" s="149">
        <f>I110-2</f>
        <v>-2</v>
      </c>
      <c r="K110" s="150">
        <f t="shared" si="37"/>
        <v>-4</v>
      </c>
      <c r="L110" s="147"/>
      <c r="M110" s="154"/>
      <c r="N110" s="151"/>
      <c r="O110" s="152">
        <f t="shared" si="5"/>
        <v>0</v>
      </c>
      <c r="P110" s="154"/>
      <c r="Q110" s="154"/>
      <c r="R110" s="154"/>
      <c r="S110" s="154"/>
      <c r="T110" s="154"/>
      <c r="U110" s="154"/>
      <c r="V110" s="154"/>
      <c r="W110" s="154"/>
      <c r="X110" s="154"/>
      <c r="Y110" s="152">
        <f t="shared" si="6"/>
        <v>12</v>
      </c>
      <c r="Z110" s="152"/>
    </row>
    <row r="111" hidden="1">
      <c r="A111" s="140">
        <f t="shared" si="1"/>
        <v>102</v>
      </c>
      <c r="B111" s="141" t="str">
        <f t="array" ref="B111">XLOOKUP(D111,'GSM T4.2026'!$B$1:$B$996,'GSM T4.2026'!$C$1:$C$996)</f>
        <v>26/08/2022</v>
      </c>
      <c r="C111" s="142" t="str">
        <f t="array" ref="C111">XLOOKUP(F111,'GSM T4.2026'!D:D,'GSM T4.2026'!F:F)</f>
        <v>Lê Nguyễn Ngọc Phượng</v>
      </c>
      <c r="D111" s="143" t="str">
        <f t="array" ref="D111">XLOOKUP(F111,'GSM T4.2026'!$D:$D,'GSM T4.2026'!$B:$B)</f>
        <v>VTG</v>
      </c>
      <c r="E111" s="144" t="str">
        <f t="array" ref="E111">XLOOKUP(F111,'GSM T4.2026'!D:D,'GSM T4.2026'!$E:$E)</f>
        <v>HCM 016</v>
      </c>
      <c r="F111" s="145" t="s">
        <v>601</v>
      </c>
      <c r="G111" s="146">
        <v>45766.0</v>
      </c>
      <c r="H111" s="147">
        <f t="shared" si="40"/>
        <v>404</v>
      </c>
      <c r="I111" s="148">
        <v>46129.0</v>
      </c>
      <c r="J111" s="149">
        <f>I111+3</f>
        <v>46132</v>
      </c>
      <c r="K111" s="150">
        <f>I111-1</f>
        <v>46128</v>
      </c>
      <c r="L111" s="147" t="s">
        <v>597</v>
      </c>
      <c r="M111" s="14" t="s">
        <v>7</v>
      </c>
      <c r="N111" s="159" t="s">
        <v>602</v>
      </c>
      <c r="O111" s="152">
        <f t="shared" si="5"/>
        <v>0</v>
      </c>
      <c r="P111" s="153" t="s">
        <v>438</v>
      </c>
      <c r="Q111" s="151"/>
      <c r="R111" s="151"/>
      <c r="S111" s="151"/>
      <c r="T111" s="151"/>
      <c r="U111" s="151"/>
      <c r="V111" s="151"/>
      <c r="W111" s="151"/>
      <c r="X111" s="151"/>
      <c r="Y111" s="152">
        <f t="shared" si="6"/>
        <v>4</v>
      </c>
      <c r="Z111" s="165"/>
    </row>
    <row r="112" hidden="1">
      <c r="A112" s="140">
        <f t="shared" si="1"/>
        <v>103</v>
      </c>
      <c r="B112" s="141">
        <f t="array" ref="B112">XLOOKUP(D112,'GSM T4.2026'!$B$1:$B$996,'GSM T4.2026'!$C$1:$C$996)</f>
        <v>45604</v>
      </c>
      <c r="C112" s="142" t="str">
        <f t="array" ref="C112">XLOOKUP(F112,'GSM T4.2026'!D:D,'GSM T4.2026'!F:F)</f>
        <v>Nguyễn Thị Ngọc Thảo</v>
      </c>
      <c r="D112" s="143" t="str">
        <f t="array" ref="D112">XLOOKUP(F112,'GSM T4.2026'!$D:$D,'GSM T4.2026'!$B:$B)</f>
        <v>CLD</v>
      </c>
      <c r="E112" s="144" t="str">
        <f t="array" ref="E112">XLOOKUP(F112,'GSM T4.2026'!D:D,'GSM T4.2026'!$E:$E)</f>
        <v>HCM 012</v>
      </c>
      <c r="F112" s="145" t="s">
        <v>603</v>
      </c>
      <c r="G112" s="146">
        <v>45946.0</v>
      </c>
      <c r="H112" s="147">
        <f t="shared" si="40"/>
        <v>224</v>
      </c>
      <c r="I112" s="148"/>
      <c r="J112" s="149">
        <f t="shared" ref="J112:J120" si="41">I112-2</f>
        <v>-2</v>
      </c>
      <c r="K112" s="150">
        <f t="shared" ref="K112:K113" si="42">I112-4</f>
        <v>-4</v>
      </c>
      <c r="L112" s="147"/>
      <c r="M112" s="154"/>
      <c r="N112" s="151"/>
      <c r="O112" s="152">
        <f t="shared" si="5"/>
        <v>0</v>
      </c>
      <c r="P112" s="154"/>
      <c r="Q112" s="154"/>
      <c r="R112" s="154"/>
      <c r="S112" s="154"/>
      <c r="T112" s="154"/>
      <c r="U112" s="154"/>
      <c r="V112" s="154"/>
      <c r="W112" s="154"/>
      <c r="X112" s="154"/>
      <c r="Y112" s="152">
        <f t="shared" si="6"/>
        <v>12</v>
      </c>
      <c r="Z112" s="152"/>
    </row>
    <row r="113" hidden="1">
      <c r="A113" s="140">
        <f t="shared" si="1"/>
        <v>104</v>
      </c>
      <c r="B113" s="141" t="str">
        <f t="array" ref="B113">XLOOKUP(D113,'GSM T4.2026'!$B$1:$B$996,'GSM T4.2026'!$C$1:$C$996)</f>
        <v>31/08/2024</v>
      </c>
      <c r="C113" s="142" t="str">
        <f t="array" ref="C113">XLOOKUP(F113,'GSM T4.2026'!D:D,'GSM T4.2026'!F:F)</f>
        <v>Nguyễn Thị Tuyết Trinh</v>
      </c>
      <c r="D113" s="143" t="str">
        <f t="array" ref="D113">XLOOKUP(F113,'GSM T4.2026'!$D:$D,'GSM T4.2026'!$B:$B)</f>
        <v>WGA</v>
      </c>
      <c r="E113" s="144" t="str">
        <f t="array" ref="E113">XLOOKUP(F113,'GSM T4.2026'!D:D,'GSM T4.2026'!$E:$E)</f>
        <v>HCM 011</v>
      </c>
      <c r="F113" s="145" t="s">
        <v>604</v>
      </c>
      <c r="G113" s="146">
        <v>45969.0</v>
      </c>
      <c r="H113" s="147">
        <f t="shared" si="40"/>
        <v>201</v>
      </c>
      <c r="I113" s="148"/>
      <c r="J113" s="149">
        <f t="shared" si="41"/>
        <v>-2</v>
      </c>
      <c r="K113" s="150">
        <f t="shared" si="42"/>
        <v>-4</v>
      </c>
      <c r="L113" s="147"/>
      <c r="M113" s="154"/>
      <c r="N113" s="151"/>
      <c r="O113" s="152">
        <f t="shared" si="5"/>
        <v>0</v>
      </c>
      <c r="P113" s="154"/>
      <c r="Q113" s="154"/>
      <c r="R113" s="154"/>
      <c r="S113" s="154"/>
      <c r="T113" s="154"/>
      <c r="U113" s="154"/>
      <c r="V113" s="154"/>
      <c r="W113" s="154"/>
      <c r="X113" s="154"/>
      <c r="Y113" s="152">
        <f t="shared" si="6"/>
        <v>12</v>
      </c>
      <c r="Z113" s="152"/>
    </row>
    <row r="114" hidden="1">
      <c r="A114" s="140">
        <f t="shared" si="1"/>
        <v>105</v>
      </c>
      <c r="B114" s="141">
        <f t="array" ref="B114">XLOOKUP(D114,'GSM T4.2026'!$B$1:$B$996,'GSM T4.2026'!$C$1:$C$996)</f>
        <v>45820</v>
      </c>
      <c r="C114" s="142" t="str">
        <f t="array" ref="C114">XLOOKUP(F114,'GSM T4.2026'!D:D,'GSM T4.2026'!F:F)</f>
        <v>Trần Tiến Thạnh</v>
      </c>
      <c r="D114" s="143" t="str">
        <f t="array" ref="D114">XLOOKUP(F114,'GSM T4.2026'!$D:$D,'GSM T4.2026'!$B:$B)</f>
        <v>A127</v>
      </c>
      <c r="E114" s="144" t="str">
        <f t="array" ref="E114">XLOOKUP(F114,'GSM T4.2026'!D:D,'GSM T4.2026'!$E:$E)</f>
        <v>HCM 026</v>
      </c>
      <c r="F114" s="145" t="s">
        <v>605</v>
      </c>
      <c r="G114" s="147" t="s">
        <v>444</v>
      </c>
      <c r="H114" s="147" t="s">
        <v>444</v>
      </c>
      <c r="I114" s="148">
        <v>46132.0</v>
      </c>
      <c r="J114" s="149">
        <f t="shared" si="41"/>
        <v>46130</v>
      </c>
      <c r="K114" s="150">
        <f>I114-3</f>
        <v>46129</v>
      </c>
      <c r="L114" s="147" t="s">
        <v>606</v>
      </c>
      <c r="M114" s="14" t="s">
        <v>7</v>
      </c>
      <c r="N114" s="159"/>
      <c r="O114" s="152">
        <f t="shared" si="5"/>
        <v>0</v>
      </c>
      <c r="P114" s="153" t="s">
        <v>449</v>
      </c>
      <c r="Q114" s="151"/>
      <c r="R114" s="151"/>
      <c r="S114" s="151"/>
      <c r="T114" s="151"/>
      <c r="U114" s="151"/>
      <c r="V114" s="151"/>
      <c r="W114" s="154"/>
      <c r="X114" s="157"/>
      <c r="Y114" s="152">
        <f t="shared" si="6"/>
        <v>4</v>
      </c>
      <c r="Z114" s="165"/>
    </row>
    <row r="115" hidden="1">
      <c r="A115" s="140">
        <f t="shared" si="1"/>
        <v>106</v>
      </c>
      <c r="B115" s="141" t="str">
        <f t="array" ref="B115">XLOOKUP(D115,'GSM T4.2026'!$B$1:$B$996,'GSM T4.2026'!$C$1:$C$996)</f>
        <v>15/08/2025</v>
      </c>
      <c r="C115" s="142" t="str">
        <f t="array" ref="C115">XLOOKUP(F115,'GSM T4.2026'!D:D,'GSM T4.2026'!F:F)</f>
        <v>Huỳnh Thị Tuyết Nhi</v>
      </c>
      <c r="D115" s="143" t="str">
        <f t="array" ref="D115">XLOOKUP(F115,'GSM T4.2026'!$D:$D,'GSM T4.2026'!$B:$B)</f>
        <v>A109</v>
      </c>
      <c r="E115" s="144" t="str">
        <f t="array" ref="E115">XLOOKUP(F115,'GSM T4.2026'!D:D,'GSM T4.2026'!$E:$E)</f>
        <v>HCM 002</v>
      </c>
      <c r="F115" s="145" t="s">
        <v>607</v>
      </c>
      <c r="G115" s="146">
        <v>45976.0</v>
      </c>
      <c r="H115" s="147">
        <f>TODAY()-G115</f>
        <v>194</v>
      </c>
      <c r="I115" s="148">
        <v>46134.0</v>
      </c>
      <c r="J115" s="149">
        <f t="shared" si="41"/>
        <v>46132</v>
      </c>
      <c r="K115" s="150">
        <f t="shared" ref="K115:K116" si="43">I115-4</f>
        <v>46130</v>
      </c>
      <c r="L115" s="147" t="s">
        <v>608</v>
      </c>
      <c r="M115" s="14" t="s">
        <v>7</v>
      </c>
      <c r="N115" s="162" t="s">
        <v>598</v>
      </c>
      <c r="O115" s="152">
        <f t="shared" si="5"/>
        <v>0</v>
      </c>
      <c r="P115" s="153" t="s">
        <v>438</v>
      </c>
      <c r="Q115" s="154"/>
      <c r="R115" s="154"/>
      <c r="S115" s="154"/>
      <c r="T115" s="154"/>
      <c r="U115" s="154"/>
      <c r="V115" s="154"/>
      <c r="W115" s="154"/>
      <c r="X115" s="154"/>
      <c r="Y115" s="152">
        <f t="shared" si="6"/>
        <v>4</v>
      </c>
      <c r="Z115" s="165"/>
    </row>
    <row r="116">
      <c r="A116" s="140">
        <f t="shared" si="1"/>
        <v>107</v>
      </c>
      <c r="B116" s="141" t="str">
        <f t="array" ref="B116">XLOOKUP(D116,'GSM T4.2026'!$B$1:$B$996,'GSM T4.2026'!$C$1:$C$996)</f>
        <v>26/12/2025</v>
      </c>
      <c r="C116" s="142" t="str">
        <f t="array" ref="C116">XLOOKUP(F116,'GSM T4.2026'!D:D,'GSM T4.2026'!F:F)</f>
        <v>Trần Thanh Hiền</v>
      </c>
      <c r="D116" s="143" t="str">
        <f t="array" ref="D116">XLOOKUP(F116,'GSM T4.2026'!$D:$D,'GSM T4.2026'!$B:$B)</f>
        <v>A137</v>
      </c>
      <c r="E116" s="144" t="str">
        <f t="array" ref="E116">XLOOKUP(F116,'GSM T4.2026'!D:D,'GSM T4.2026'!$E:$E)</f>
        <v>HCM 019</v>
      </c>
      <c r="F116" s="145" t="s">
        <v>609</v>
      </c>
      <c r="G116" s="147" t="s">
        <v>444</v>
      </c>
      <c r="H116" s="147" t="s">
        <v>444</v>
      </c>
      <c r="I116" s="148">
        <v>46158.0</v>
      </c>
      <c r="J116" s="149">
        <f t="shared" si="41"/>
        <v>46156</v>
      </c>
      <c r="K116" s="150">
        <f t="shared" si="43"/>
        <v>46154</v>
      </c>
      <c r="L116" s="147" t="s">
        <v>610</v>
      </c>
      <c r="M116" s="14" t="s">
        <v>7</v>
      </c>
      <c r="N116" s="151"/>
      <c r="O116" s="152">
        <f t="shared" si="5"/>
        <v>0</v>
      </c>
      <c r="P116" s="153" t="s">
        <v>449</v>
      </c>
      <c r="Q116" s="151"/>
      <c r="R116" s="151"/>
      <c r="S116" s="151"/>
      <c r="T116" s="151"/>
      <c r="U116" s="151"/>
      <c r="V116" s="151"/>
      <c r="W116" s="154"/>
      <c r="X116" s="160"/>
      <c r="Y116" s="152">
        <f t="shared" si="6"/>
        <v>5</v>
      </c>
      <c r="Z116" s="165"/>
    </row>
    <row r="117" hidden="1">
      <c r="A117" s="140">
        <f t="shared" si="1"/>
        <v>108</v>
      </c>
      <c r="B117" s="141" t="str">
        <f t="array" ref="B117">XLOOKUP(D117,'GSM T4.2026'!$B$1:$B$996,'GSM T4.2026'!$C$1:$C$996)</f>
        <v>18/12/2025</v>
      </c>
      <c r="C117" s="142" t="str">
        <f t="array" ref="C117">XLOOKUP(F117,'GSM T4.2026'!D:D,'GSM T4.2026'!F:F)</f>
        <v>Trần Tiến Thạnh</v>
      </c>
      <c r="D117" s="143" t="str">
        <f t="array" ref="D117">XLOOKUP(F117,'GSM T4.2026'!$D:$D,'GSM T4.2026'!$B:$B)</f>
        <v>A132</v>
      </c>
      <c r="E117" s="144" t="str">
        <f t="array" ref="E117">XLOOKUP(F117,'GSM T4.2026'!D:D,'GSM T4.2026'!$E:$E)</f>
        <v>HCM 026</v>
      </c>
      <c r="F117" s="145" t="s">
        <v>611</v>
      </c>
      <c r="G117" s="147" t="s">
        <v>444</v>
      </c>
      <c r="H117" s="147" t="s">
        <v>444</v>
      </c>
      <c r="I117" s="148">
        <v>46134.0</v>
      </c>
      <c r="J117" s="149">
        <f t="shared" si="41"/>
        <v>46132</v>
      </c>
      <c r="K117" s="150">
        <f>I117-3</f>
        <v>46131</v>
      </c>
      <c r="L117" s="147" t="s">
        <v>612</v>
      </c>
      <c r="M117" s="14" t="s">
        <v>7</v>
      </c>
      <c r="N117" s="159"/>
      <c r="O117" s="152">
        <f t="shared" si="5"/>
        <v>0</v>
      </c>
      <c r="P117" s="153" t="s">
        <v>449</v>
      </c>
      <c r="Q117" s="151"/>
      <c r="R117" s="151"/>
      <c r="S117" s="151"/>
      <c r="T117" s="151"/>
      <c r="U117" s="151"/>
      <c r="V117" s="151"/>
      <c r="W117" s="158"/>
      <c r="X117" s="157"/>
      <c r="Y117" s="152">
        <f t="shared" si="6"/>
        <v>4</v>
      </c>
      <c r="Z117" s="165"/>
    </row>
    <row r="118" hidden="1">
      <c r="A118" s="140">
        <f t="shared" si="1"/>
        <v>109</v>
      </c>
      <c r="B118" s="141" t="str">
        <f t="array" ref="B118">XLOOKUP(D118,'GSM T4.2026'!$B$1:$B$996,'GSM T4.2026'!$C$1:$C$996)</f>
        <v>19/05/2023</v>
      </c>
      <c r="C118" s="142" t="str">
        <f t="array" ref="C118">XLOOKUP(F118,'GSM T4.2026'!D:D,'GSM T4.2026'!F:F)</f>
        <v>Lê Ngọc Thảo</v>
      </c>
      <c r="D118" s="143" t="str">
        <f t="array" ref="D118">XLOOKUP(F118,'GSM T4.2026'!$D:$D,'GSM T4.2026'!$B:$B)</f>
        <v>TNT</v>
      </c>
      <c r="E118" s="144" t="str">
        <f t="array" ref="E118">XLOOKUP(F118,'GSM T4.2026'!D:D,'GSM T4.2026'!$E:$E)</f>
        <v>HCM 008</v>
      </c>
      <c r="F118" s="145" t="s">
        <v>613</v>
      </c>
      <c r="G118" s="146">
        <v>45771.0</v>
      </c>
      <c r="H118" s="147">
        <f t="shared" ref="H118:H125" si="44">TODAY()-G118</f>
        <v>399</v>
      </c>
      <c r="I118" s="148">
        <v>46135.0</v>
      </c>
      <c r="J118" s="149">
        <f t="shared" si="41"/>
        <v>46133</v>
      </c>
      <c r="K118" s="150">
        <f t="shared" ref="K118:K119" si="45">I118-4</f>
        <v>46131</v>
      </c>
      <c r="L118" s="147" t="s">
        <v>614</v>
      </c>
      <c r="M118" s="14" t="s">
        <v>7</v>
      </c>
      <c r="N118" s="159"/>
      <c r="O118" s="152">
        <f t="shared" si="5"/>
        <v>0</v>
      </c>
      <c r="P118" s="153" t="s">
        <v>449</v>
      </c>
      <c r="Q118" s="151"/>
      <c r="R118" s="151"/>
      <c r="S118" s="151"/>
      <c r="T118" s="151"/>
      <c r="U118" s="151"/>
      <c r="V118" s="151"/>
      <c r="W118" s="154"/>
      <c r="X118" s="160"/>
      <c r="Y118" s="152">
        <f t="shared" si="6"/>
        <v>4</v>
      </c>
      <c r="Z118" s="165"/>
    </row>
    <row r="119" hidden="1">
      <c r="A119" s="140">
        <f t="shared" si="1"/>
        <v>110</v>
      </c>
      <c r="B119" s="141">
        <f t="array" ref="B119">XLOOKUP(D119,'GSM T4.2026'!$B$1:$B$996,'GSM T4.2026'!$C$1:$C$996)</f>
        <v>44938</v>
      </c>
      <c r="C119" s="142" t="str">
        <f t="array" ref="C119">XLOOKUP(F119,'GSM T4.2026'!D:D,'GSM T4.2026'!F:F)</f>
        <v>Nguyễn Thuỷ Tiên</v>
      </c>
      <c r="D119" s="143" t="str">
        <f t="array" ref="D119">XLOOKUP(F119,'GSM T4.2026'!$D:$D,'GSM T4.2026'!$B:$B)</f>
        <v>LVN</v>
      </c>
      <c r="E119" s="144" t="str">
        <f t="array" ref="E119">XLOOKUP(F119,'GSM T4.2026'!D:D,'GSM T4.2026'!$E:$E)</f>
        <v>HCM 003</v>
      </c>
      <c r="F119" s="145" t="s">
        <v>615</v>
      </c>
      <c r="G119" s="146">
        <v>45966.0</v>
      </c>
      <c r="H119" s="147">
        <f t="shared" si="44"/>
        <v>204</v>
      </c>
      <c r="I119" s="148"/>
      <c r="J119" s="149">
        <f t="shared" si="41"/>
        <v>-2</v>
      </c>
      <c r="K119" s="150">
        <f t="shared" si="45"/>
        <v>-4</v>
      </c>
      <c r="L119" s="147"/>
      <c r="M119" s="175"/>
      <c r="N119" s="151"/>
      <c r="O119" s="152">
        <f t="shared" si="5"/>
        <v>0</v>
      </c>
      <c r="P119" s="151"/>
      <c r="Q119" s="151"/>
      <c r="R119" s="151"/>
      <c r="S119" s="151"/>
      <c r="T119" s="151"/>
      <c r="U119" s="151"/>
      <c r="V119" s="151"/>
      <c r="W119" s="158"/>
      <c r="X119" s="157"/>
      <c r="Y119" s="152">
        <f t="shared" si="6"/>
        <v>12</v>
      </c>
      <c r="Z119" s="152"/>
    </row>
    <row r="120" hidden="1">
      <c r="A120" s="140">
        <f t="shared" si="1"/>
        <v>111</v>
      </c>
      <c r="B120" s="141" t="str">
        <f t="array" ref="B120">XLOOKUP(D120,'GSM T4.2026'!$B$1:$B$996,'GSM T4.2026'!$C$1:$C$996)</f>
        <v>27/12/2024</v>
      </c>
      <c r="C120" s="142" t="str">
        <f t="array" ref="C120">XLOOKUP(F120,'GSM T4.2026'!D:D,'GSM T4.2026'!F:F)</f>
        <v>Đào Hồng Hiện</v>
      </c>
      <c r="D120" s="143" t="str">
        <f t="array" ref="D120">XLOOKUP(F120,'GSM T4.2026'!$D:$D,'GSM T4.2026'!$B:$B)</f>
        <v>HTN</v>
      </c>
      <c r="E120" s="144" t="str">
        <f t="array" ref="E120">XLOOKUP(F120,'GSM T4.2026'!D:D,'GSM T4.2026'!$E:$E)</f>
        <v>HCM 035</v>
      </c>
      <c r="F120" s="145" t="s">
        <v>616</v>
      </c>
      <c r="G120" s="146">
        <v>45753.0</v>
      </c>
      <c r="H120" s="147">
        <f t="shared" si="44"/>
        <v>417</v>
      </c>
      <c r="I120" s="148">
        <v>46135.0</v>
      </c>
      <c r="J120" s="149">
        <f t="shared" si="41"/>
        <v>46133</v>
      </c>
      <c r="K120" s="150">
        <f>I120-3</f>
        <v>46132</v>
      </c>
      <c r="L120" s="147" t="s">
        <v>617</v>
      </c>
      <c r="M120" s="14" t="s">
        <v>7</v>
      </c>
      <c r="N120" s="159"/>
      <c r="O120" s="152">
        <f t="shared" si="5"/>
        <v>0</v>
      </c>
      <c r="P120" s="153" t="s">
        <v>449</v>
      </c>
      <c r="Q120" s="151"/>
      <c r="R120" s="151"/>
      <c r="S120" s="151"/>
      <c r="T120" s="151"/>
      <c r="U120" s="151"/>
      <c r="V120" s="151"/>
      <c r="W120" s="154"/>
      <c r="X120" s="160"/>
      <c r="Y120" s="152">
        <f t="shared" si="6"/>
        <v>4</v>
      </c>
      <c r="Z120" s="165"/>
    </row>
    <row r="121">
      <c r="A121" s="140">
        <f t="shared" si="1"/>
        <v>112</v>
      </c>
      <c r="B121" s="141">
        <f t="array" ref="B121">XLOOKUP(D121,'GSM T4.2026'!$B$1:$B$996,'GSM T4.2026'!$C$1:$C$996)</f>
        <v>43435</v>
      </c>
      <c r="C121" s="142" t="str">
        <f t="array" ref="C121">XLOOKUP(F121,'GSM T4.2026'!D:D,'GSM T4.2026'!F:F)</f>
        <v>Nguyễn Minh Thắng</v>
      </c>
      <c r="D121" s="143" t="str">
        <f t="array" ref="D121">XLOOKUP(F121,'GSM T4.2026'!$D:$D,'GSM T4.2026'!$B:$B)</f>
        <v>TMY</v>
      </c>
      <c r="E121" s="144" t="str">
        <f t="array" ref="E121">XLOOKUP(F121,'GSM T4.2026'!D:D,'GSM T4.2026'!$E:$E)</f>
        <v>HCM 001</v>
      </c>
      <c r="F121" s="145" t="s">
        <v>618</v>
      </c>
      <c r="G121" s="146">
        <v>45792.0</v>
      </c>
      <c r="H121" s="147">
        <f t="shared" si="44"/>
        <v>378</v>
      </c>
      <c r="I121" s="148">
        <v>46160.0</v>
      </c>
      <c r="J121" s="149">
        <f>I121-3</f>
        <v>46157</v>
      </c>
      <c r="K121" s="150">
        <f t="shared" ref="K121:K125" si="46">I121-4</f>
        <v>46156</v>
      </c>
      <c r="L121" s="147" t="s">
        <v>619</v>
      </c>
      <c r="M121" s="14" t="s">
        <v>7</v>
      </c>
      <c r="N121" s="162"/>
      <c r="O121" s="152">
        <f t="shared" si="5"/>
        <v>0</v>
      </c>
      <c r="P121" s="153" t="s">
        <v>449</v>
      </c>
      <c r="Q121" s="151"/>
      <c r="R121" s="151"/>
      <c r="S121" s="151"/>
      <c r="T121" s="151"/>
      <c r="U121" s="151"/>
      <c r="V121" s="151"/>
      <c r="W121" s="151"/>
      <c r="X121" s="151"/>
      <c r="Y121" s="152">
        <f t="shared" si="6"/>
        <v>5</v>
      </c>
      <c r="Z121" s="152"/>
    </row>
    <row r="122" hidden="1">
      <c r="A122" s="140">
        <f t="shared" si="1"/>
        <v>113</v>
      </c>
      <c r="B122" s="141" t="str">
        <f t="array" ref="B122">XLOOKUP(D122,'GSM T4.2026'!$B$1:$B$996,'GSM T4.2026'!$C$1:$C$996)</f>
        <v>30/08/2024</v>
      </c>
      <c r="C122" s="142" t="str">
        <f t="array" ref="C122">XLOOKUP(F122,'GSM T4.2026'!D:D,'GSM T4.2026'!F:F)</f>
        <v>Lê Thị Bích Liểu</v>
      </c>
      <c r="D122" s="143" t="str">
        <f t="array" ref="D122">XLOOKUP(F122,'GSM T4.2026'!$D:$D,'GSM T4.2026'!$B:$B)</f>
        <v>NDH</v>
      </c>
      <c r="E122" s="144" t="str">
        <f t="array" ref="E122">XLOOKUP(F122,'GSM T4.2026'!D:D,'GSM T4.2026'!$E:$E)</f>
        <v>HCM 034</v>
      </c>
      <c r="F122" s="145" t="s">
        <v>620</v>
      </c>
      <c r="G122" s="146">
        <v>45932.0</v>
      </c>
      <c r="H122" s="147">
        <f t="shared" si="44"/>
        <v>238</v>
      </c>
      <c r="I122" s="148"/>
      <c r="J122" s="149">
        <f t="shared" ref="J122:J125" si="47">I122-2</f>
        <v>-2</v>
      </c>
      <c r="K122" s="150">
        <f t="shared" si="46"/>
        <v>-4</v>
      </c>
      <c r="L122" s="147"/>
      <c r="M122" s="157"/>
      <c r="N122" s="151"/>
      <c r="O122" s="152">
        <f t="shared" si="5"/>
        <v>0</v>
      </c>
      <c r="P122" s="179"/>
      <c r="Q122" s="151"/>
      <c r="R122" s="151"/>
      <c r="S122" s="151"/>
      <c r="T122" s="151"/>
      <c r="U122" s="151"/>
      <c r="V122" s="151"/>
      <c r="W122" s="154"/>
      <c r="X122" s="160"/>
      <c r="Y122" s="152">
        <f t="shared" si="6"/>
        <v>12</v>
      </c>
      <c r="Z122" s="152"/>
    </row>
    <row r="123" hidden="1">
      <c r="A123" s="140">
        <f t="shared" si="1"/>
        <v>114</v>
      </c>
      <c r="B123" s="141" t="str">
        <f t="array" ref="B123">XLOOKUP(D123,'GSM T4.2026'!$B$1:$B$996,'GSM T4.2026'!$C$1:$C$996)</f>
        <v>14/11/2025</v>
      </c>
      <c r="C123" s="142" t="str">
        <f t="array" ref="C123">XLOOKUP(F123,'GSM T4.2026'!D:D,'GSM T4.2026'!F:F)</f>
        <v>Nguyễn Văn Lâm</v>
      </c>
      <c r="D123" s="143" t="str">
        <f t="array" ref="D123">XLOOKUP(F123,'GSM T4.2026'!$D:$D,'GSM T4.2026'!$B:$B)</f>
        <v>A124</v>
      </c>
      <c r="E123" s="144" t="str">
        <f t="array" ref="E123">XLOOKUP(F123,'GSM T4.2026'!D:D,'GSM T4.2026'!$E:$E)</f>
        <v>HCM 007</v>
      </c>
      <c r="F123" s="145" t="s">
        <v>621</v>
      </c>
      <c r="G123" s="146">
        <v>46007.0</v>
      </c>
      <c r="H123" s="147">
        <f t="shared" si="44"/>
        <v>163</v>
      </c>
      <c r="I123" s="148"/>
      <c r="J123" s="149">
        <f t="shared" si="47"/>
        <v>-2</v>
      </c>
      <c r="K123" s="150">
        <f t="shared" si="46"/>
        <v>-4</v>
      </c>
      <c r="L123" s="147"/>
      <c r="M123" s="157"/>
      <c r="N123" s="151"/>
      <c r="O123" s="152">
        <f t="shared" si="5"/>
        <v>0</v>
      </c>
      <c r="P123" s="176"/>
      <c r="Q123" s="151"/>
      <c r="R123" s="151"/>
      <c r="S123" s="151"/>
      <c r="T123" s="151"/>
      <c r="U123" s="151"/>
      <c r="V123" s="151"/>
      <c r="W123" s="158"/>
      <c r="X123" s="157"/>
      <c r="Y123" s="152">
        <f t="shared" si="6"/>
        <v>12</v>
      </c>
      <c r="Z123" s="152"/>
    </row>
    <row r="124">
      <c r="A124" s="140">
        <f t="shared" si="1"/>
        <v>115</v>
      </c>
      <c r="B124" s="141">
        <f t="array" ref="B124">XLOOKUP(D124,'GSM T4.2026'!$B$1:$B$996,'GSM T4.2026'!$C$1:$C$996)</f>
        <v>44779</v>
      </c>
      <c r="C124" s="142" t="str">
        <f t="array" ref="C124">XLOOKUP(F124,'GSM T4.2026'!D:D,'GSM T4.2026'!F:F)</f>
        <v>Nguyễn Thị Ngọc Bích</v>
      </c>
      <c r="D124" s="143" t="str">
        <f t="array" ref="D124">XLOOKUP(F124,'GSM T4.2026'!$D:$D,'GSM T4.2026'!$B:$B)</f>
        <v>NVT</v>
      </c>
      <c r="E124" s="144" t="str">
        <f t="array" ref="E124">XLOOKUP(F124,'GSM T4.2026'!D:D,'GSM T4.2026'!$E:$E)</f>
        <v>HCM 005</v>
      </c>
      <c r="F124" s="145" t="s">
        <v>622</v>
      </c>
      <c r="G124" s="146">
        <v>45828.0</v>
      </c>
      <c r="H124" s="147">
        <f t="shared" si="44"/>
        <v>342</v>
      </c>
      <c r="I124" s="148">
        <v>46161.0</v>
      </c>
      <c r="J124" s="149">
        <f t="shared" si="47"/>
        <v>46159</v>
      </c>
      <c r="K124" s="150">
        <f t="shared" si="46"/>
        <v>46157</v>
      </c>
      <c r="L124" s="147" t="s">
        <v>623</v>
      </c>
      <c r="M124" s="14" t="s">
        <v>7</v>
      </c>
      <c r="N124" s="162" t="s">
        <v>624</v>
      </c>
      <c r="O124" s="152">
        <f t="shared" si="5"/>
        <v>0</v>
      </c>
      <c r="P124" s="153" t="s">
        <v>438</v>
      </c>
      <c r="Q124" s="151"/>
      <c r="R124" s="151"/>
      <c r="S124" s="151"/>
      <c r="T124" s="151"/>
      <c r="U124" s="151"/>
      <c r="V124" s="151"/>
      <c r="W124" s="154"/>
      <c r="X124" s="157"/>
      <c r="Y124" s="152">
        <f t="shared" si="6"/>
        <v>5</v>
      </c>
      <c r="Z124" s="152"/>
    </row>
    <row r="125" hidden="1">
      <c r="A125" s="140">
        <f t="shared" si="1"/>
        <v>116</v>
      </c>
      <c r="B125" s="141">
        <f t="array" ref="B125">XLOOKUP(D125,'GSM T4.2026'!$B$1:$B$996,'GSM T4.2026'!$C$1:$C$996)</f>
        <v>45325</v>
      </c>
      <c r="C125" s="142" t="str">
        <f t="array" ref="C125">XLOOKUP(F125,'GSM T4.2026'!D:D,'GSM T4.2026'!F:F)</f>
        <v>Nguyễn Văn Lâm</v>
      </c>
      <c r="D125" s="143" t="str">
        <f t="array" ref="D125">XLOOKUP(F125,'GSM T4.2026'!$D:$D,'GSM T4.2026'!$B:$B)</f>
        <v>SFR</v>
      </c>
      <c r="E125" s="144" t="str">
        <f t="array" ref="E125">XLOOKUP(F125,'GSM T4.2026'!D:D,'GSM T4.2026'!$E:$E)</f>
        <v>HCM 007</v>
      </c>
      <c r="F125" s="145" t="s">
        <v>625</v>
      </c>
      <c r="G125" s="146">
        <v>45762.0</v>
      </c>
      <c r="H125" s="147">
        <f t="shared" si="44"/>
        <v>408</v>
      </c>
      <c r="I125" s="148"/>
      <c r="J125" s="149">
        <f t="shared" si="47"/>
        <v>-2</v>
      </c>
      <c r="K125" s="150">
        <f t="shared" si="46"/>
        <v>-4</v>
      </c>
      <c r="L125" s="147"/>
      <c r="M125" s="157"/>
      <c r="N125" s="151"/>
      <c r="O125" s="152">
        <f t="shared" si="5"/>
        <v>0</v>
      </c>
      <c r="P125" s="176"/>
      <c r="Q125" s="151"/>
      <c r="R125" s="151"/>
      <c r="S125" s="151"/>
      <c r="T125" s="151"/>
      <c r="U125" s="151"/>
      <c r="V125" s="151"/>
      <c r="W125" s="156"/>
      <c r="X125" s="157"/>
      <c r="Y125" s="152">
        <f t="shared" si="6"/>
        <v>12</v>
      </c>
      <c r="Z125" s="152"/>
    </row>
    <row r="126">
      <c r="A126" s="140">
        <f t="shared" si="1"/>
        <v>117</v>
      </c>
      <c r="B126" s="141">
        <f t="array" ref="B126">XLOOKUP(D126,'GSM T4.2026'!$B$1:$B$996,'GSM T4.2026'!$C$1:$C$996)</f>
        <v>46082</v>
      </c>
      <c r="C126" s="142" t="str">
        <f t="array" ref="C126">XLOOKUP(F126,'GSM T4.2026'!D:D,'GSM T4.2026'!F:F)</f>
        <v>Hồng Trọng Nghĩa</v>
      </c>
      <c r="D126" s="143" t="str">
        <f t="array" ref="D126">XLOOKUP(F126,'GSM T4.2026'!$D:$D,'GSM T4.2026'!$B:$B)</f>
        <v>A133</v>
      </c>
      <c r="E126" s="144" t="str">
        <f t="array" ref="E126">XLOOKUP(F126,'GSM T4.2026'!D:D,'GSM T4.2026'!$E:$E)</f>
        <v>HCM 022</v>
      </c>
      <c r="F126" s="145" t="s">
        <v>626</v>
      </c>
      <c r="G126" s="113" t="s">
        <v>444</v>
      </c>
      <c r="H126" s="147" t="s">
        <v>444</v>
      </c>
      <c r="I126" s="148">
        <v>46160.0</v>
      </c>
      <c r="J126" s="149">
        <f>I126+1</f>
        <v>46161</v>
      </c>
      <c r="K126" s="150">
        <f>I126-3</f>
        <v>46157</v>
      </c>
      <c r="L126" s="147" t="s">
        <v>623</v>
      </c>
      <c r="M126" s="14" t="s">
        <v>7</v>
      </c>
      <c r="N126" s="151"/>
      <c r="O126" s="152">
        <f t="shared" si="5"/>
        <v>0</v>
      </c>
      <c r="P126" s="153" t="s">
        <v>449</v>
      </c>
      <c r="Q126" s="151"/>
      <c r="R126" s="151"/>
      <c r="S126" s="151"/>
      <c r="T126" s="151"/>
      <c r="U126" s="151"/>
      <c r="V126" s="151"/>
      <c r="W126" s="158"/>
      <c r="X126" s="157"/>
      <c r="Y126" s="152">
        <f t="shared" si="6"/>
        <v>5</v>
      </c>
      <c r="Z126" s="152"/>
    </row>
    <row r="127" hidden="1">
      <c r="A127" s="140">
        <f t="shared" si="1"/>
        <v>118</v>
      </c>
      <c r="B127" s="141">
        <f t="array" ref="B127">XLOOKUP(D127,'GSM T4.2026'!$B$1:$B$996,'GSM T4.2026'!$C$1:$C$996)</f>
        <v>45206</v>
      </c>
      <c r="C127" s="142" t="str">
        <f t="array" ref="C127">XLOOKUP(F127,'GSM T4.2026'!D:D,'GSM T4.2026'!F:F)</f>
        <v>Trần Văn Hiếu</v>
      </c>
      <c r="D127" s="143" t="str">
        <f t="array" ref="D127">XLOOKUP(F127,'GSM T4.2026'!$D:$D,'GSM T4.2026'!$B:$B)</f>
        <v>RS4</v>
      </c>
      <c r="E127" s="144" t="str">
        <f t="array" ref="E127">XLOOKUP(F127,'GSM T4.2026'!D:D,'GSM T4.2026'!$E:$E)</f>
        <v>HCM 014</v>
      </c>
      <c r="F127" s="145" t="s">
        <v>627</v>
      </c>
      <c r="G127" s="146">
        <v>45896.0</v>
      </c>
      <c r="H127" s="147">
        <f t="shared" ref="H127:H131" si="48">TODAY()-G127</f>
        <v>274</v>
      </c>
      <c r="I127" s="148">
        <v>46135.0</v>
      </c>
      <c r="J127" s="149">
        <f>I127-1</f>
        <v>46134</v>
      </c>
      <c r="K127" s="150">
        <f>I127-2</f>
        <v>46133</v>
      </c>
      <c r="L127" s="147" t="s">
        <v>628</v>
      </c>
      <c r="M127" s="14" t="s">
        <v>7</v>
      </c>
      <c r="N127" s="162" t="s">
        <v>629</v>
      </c>
      <c r="O127" s="152">
        <f t="shared" si="5"/>
        <v>0</v>
      </c>
      <c r="P127" s="153" t="s">
        <v>438</v>
      </c>
      <c r="Q127" s="154"/>
      <c r="R127" s="154"/>
      <c r="S127" s="154"/>
      <c r="T127" s="154"/>
      <c r="U127" s="154"/>
      <c r="V127" s="154"/>
      <c r="W127" s="154"/>
      <c r="X127" s="154"/>
      <c r="Y127" s="152">
        <f t="shared" si="6"/>
        <v>4</v>
      </c>
      <c r="Z127" s="165"/>
    </row>
    <row r="128" hidden="1">
      <c r="A128" s="140">
        <f t="shared" si="1"/>
        <v>119</v>
      </c>
      <c r="B128" s="141" t="str">
        <f t="array" ref="B128">XLOOKUP(D128,'GSM T4.2026'!$B$1:$B$996,'GSM T4.2026'!$C$1:$C$996)</f>
        <v>26/10/2024</v>
      </c>
      <c r="C128" s="142" t="str">
        <f t="array" ref="C128">XLOOKUP(F128,'GSM T4.2026'!D:D,'GSM T4.2026'!F:F)</f>
        <v>Phạm Duy</v>
      </c>
      <c r="D128" s="143" t="str">
        <f t="array" ref="D128">XLOOKUP(F128,'GSM T4.2026'!$D:$D,'GSM T4.2026'!$B:$B)</f>
        <v>RVS</v>
      </c>
      <c r="E128" s="144" t="str">
        <f t="array" ref="E128">XLOOKUP(F128,'GSM T4.2026'!D:D,'GSM T4.2026'!$E:$E)</f>
        <v>HCM 024</v>
      </c>
      <c r="F128" s="145" t="s">
        <v>630</v>
      </c>
      <c r="G128" s="146">
        <v>45874.0</v>
      </c>
      <c r="H128" s="147">
        <f t="shared" si="48"/>
        <v>296</v>
      </c>
      <c r="I128" s="148"/>
      <c r="J128" s="149">
        <f t="shared" ref="J128:J132" si="49">I128-2</f>
        <v>-2</v>
      </c>
      <c r="K128" s="150">
        <f t="shared" ref="K128:K129" si="50">I128-4</f>
        <v>-4</v>
      </c>
      <c r="L128" s="147"/>
      <c r="M128" s="175"/>
      <c r="N128" s="151"/>
      <c r="O128" s="152">
        <f t="shared" si="5"/>
        <v>0</v>
      </c>
      <c r="P128" s="176"/>
      <c r="Q128" s="151"/>
      <c r="R128" s="151"/>
      <c r="S128" s="151"/>
      <c r="T128" s="151"/>
      <c r="U128" s="151"/>
      <c r="V128" s="151"/>
      <c r="W128" s="151"/>
      <c r="X128" s="151"/>
      <c r="Y128" s="152">
        <f t="shared" si="6"/>
        <v>12</v>
      </c>
      <c r="Z128" s="152"/>
    </row>
    <row r="129" hidden="1">
      <c r="A129" s="140">
        <f t="shared" si="1"/>
        <v>120</v>
      </c>
      <c r="B129" s="141">
        <f t="array" ref="B129">XLOOKUP(D129,'GSM T4.2026'!$B$1:$B$996,'GSM T4.2026'!$C$1:$C$996)</f>
        <v>45780</v>
      </c>
      <c r="C129" s="142" t="str">
        <f t="array" ref="C129">XLOOKUP(F129,'GSM T4.2026'!D:D,'GSM T4.2026'!F:F)</f>
        <v>Phạm Hữu Chương</v>
      </c>
      <c r="D129" s="143" t="str">
        <f t="array" ref="D129">XLOOKUP(F129,'GSM T4.2026'!$D:$D,'GSM T4.2026'!$B:$B)</f>
        <v>THN</v>
      </c>
      <c r="E129" s="144" t="str">
        <f t="array" ref="E129">XLOOKUP(F129,'GSM T4.2026'!D:D,'GSM T4.2026'!$E:$E)</f>
        <v>HCM 020</v>
      </c>
      <c r="F129" s="145" t="s">
        <v>631</v>
      </c>
      <c r="G129" s="146">
        <v>45953.0</v>
      </c>
      <c r="H129" s="147">
        <f t="shared" si="48"/>
        <v>217</v>
      </c>
      <c r="I129" s="148"/>
      <c r="J129" s="149">
        <f t="shared" si="49"/>
        <v>-2</v>
      </c>
      <c r="K129" s="150">
        <f t="shared" si="50"/>
        <v>-4</v>
      </c>
      <c r="L129" s="147"/>
      <c r="M129" s="157"/>
      <c r="N129" s="151"/>
      <c r="O129" s="152">
        <f t="shared" si="5"/>
        <v>0</v>
      </c>
      <c r="P129" s="142"/>
      <c r="Q129" s="142"/>
      <c r="R129" s="142"/>
      <c r="S129" s="142"/>
      <c r="T129" s="151"/>
      <c r="U129" s="151"/>
      <c r="V129" s="151"/>
      <c r="W129" s="154"/>
      <c r="X129" s="160"/>
      <c r="Y129" s="152">
        <f t="shared" si="6"/>
        <v>12</v>
      </c>
      <c r="Z129" s="152"/>
    </row>
    <row r="130" hidden="1">
      <c r="A130" s="140">
        <f t="shared" si="1"/>
        <v>121</v>
      </c>
      <c r="B130" s="141" t="str">
        <f t="array" ref="B130">XLOOKUP(D130,'GSM T4.2026'!$B$1:$B$996,'GSM T4.2026'!$C$1:$C$996)</f>
        <v>15/08/2025</v>
      </c>
      <c r="C130" s="142" t="str">
        <f t="array" ref="C130">XLOOKUP(F130,'GSM T4.2026'!D:D,'GSM T4.2026'!F:F)</f>
        <v>Trần Tiến Thạnh</v>
      </c>
      <c r="D130" s="143" t="str">
        <f t="array" ref="D130">XLOOKUP(F130,'GSM T4.2026'!$D:$D,'GSM T4.2026'!$B:$B)</f>
        <v>A108</v>
      </c>
      <c r="E130" s="144" t="str">
        <f t="array" ref="E130">XLOOKUP(F130,'GSM T4.2026'!D:D,'GSM T4.2026'!$E:$E)</f>
        <v>HCM 026</v>
      </c>
      <c r="F130" s="145" t="s">
        <v>632</v>
      </c>
      <c r="G130" s="146">
        <v>45971.0</v>
      </c>
      <c r="H130" s="147">
        <f t="shared" si="48"/>
        <v>199</v>
      </c>
      <c r="I130" s="148">
        <v>46136.0</v>
      </c>
      <c r="J130" s="149">
        <f t="shared" si="49"/>
        <v>46134</v>
      </c>
      <c r="K130" s="150">
        <f>I130-3</f>
        <v>46133</v>
      </c>
      <c r="L130" s="147" t="s">
        <v>633</v>
      </c>
      <c r="M130" s="14" t="s">
        <v>7</v>
      </c>
      <c r="N130" s="159" t="s">
        <v>634</v>
      </c>
      <c r="O130" s="152">
        <f t="shared" si="5"/>
        <v>0</v>
      </c>
      <c r="P130" s="153" t="s">
        <v>438</v>
      </c>
      <c r="Q130" s="154"/>
      <c r="R130" s="154"/>
      <c r="S130" s="154"/>
      <c r="T130" s="154"/>
      <c r="U130" s="154"/>
      <c r="V130" s="154"/>
      <c r="W130" s="154"/>
      <c r="X130" s="154"/>
      <c r="Y130" s="152">
        <f t="shared" si="6"/>
        <v>4</v>
      </c>
      <c r="Z130" s="165"/>
    </row>
    <row r="131" hidden="1">
      <c r="A131" s="140">
        <f t="shared" si="1"/>
        <v>122</v>
      </c>
      <c r="B131" s="141" t="str">
        <f t="array" ref="B131">XLOOKUP(D131,'GSM T4.2026'!$B$1:$B$996,'GSM T4.2026'!$C$1:$C$996)</f>
        <v>13/04/2024</v>
      </c>
      <c r="C131" s="142" t="str">
        <f t="array" ref="C131">XLOOKUP(F131,'GSM T4.2026'!D:D,'GSM T4.2026'!F:F)</f>
        <v>Phạm Hữu Chương</v>
      </c>
      <c r="D131" s="143" t="str">
        <f t="array" ref="D131">XLOOKUP(F131,'GSM T4.2026'!$D:$D,'GSM T4.2026'!$B:$B)</f>
        <v>CTH</v>
      </c>
      <c r="E131" s="144" t="str">
        <f t="array" ref="E131">XLOOKUP(F131,'GSM T4.2026'!D:D,'GSM T4.2026'!$E:$E)</f>
        <v>HCM 020</v>
      </c>
      <c r="F131" s="145" t="s">
        <v>635</v>
      </c>
      <c r="G131" s="146">
        <v>45912.0</v>
      </c>
      <c r="H131" s="147">
        <f t="shared" si="48"/>
        <v>258</v>
      </c>
      <c r="I131" s="148"/>
      <c r="J131" s="149">
        <f t="shared" si="49"/>
        <v>-2</v>
      </c>
      <c r="K131" s="150">
        <f>I131-4</f>
        <v>-4</v>
      </c>
      <c r="L131" s="147"/>
      <c r="M131" s="157"/>
      <c r="N131" s="151"/>
      <c r="O131" s="152">
        <f t="shared" si="5"/>
        <v>0</v>
      </c>
      <c r="P131" s="176"/>
      <c r="Q131" s="151"/>
      <c r="R131" s="151"/>
      <c r="S131" s="151"/>
      <c r="T131" s="151"/>
      <c r="U131" s="151"/>
      <c r="V131" s="151"/>
      <c r="W131" s="154"/>
      <c r="X131" s="157"/>
      <c r="Y131" s="152">
        <f t="shared" si="6"/>
        <v>12</v>
      </c>
      <c r="Z131" s="152"/>
    </row>
    <row r="132" hidden="1">
      <c r="A132" s="140">
        <f t="shared" si="1"/>
        <v>123</v>
      </c>
      <c r="B132" s="141">
        <f t="array" ref="B132">XLOOKUP(D132,'GSM T4.2026'!$B$1:$B$996,'GSM T4.2026'!$C$1:$C$996)</f>
        <v>46176</v>
      </c>
      <c r="C132" s="142" t="str">
        <f t="array" ref="C132">XLOOKUP(F132,'GSM T4.2026'!D:D,'GSM T4.2026'!F:F)</f>
        <v>Đặng Đăng Khoa</v>
      </c>
      <c r="D132" s="168" t="str">
        <f t="array" ref="D132">XLOOKUP(F132,'GSM T4.2026'!$D:$D,'GSM T4.2026'!$B:$B)</f>
        <v>A155</v>
      </c>
      <c r="E132" s="144" t="str">
        <f t="array" ref="E132">XLOOKUP(F132,'GSM T4.2026'!D:D,'GSM T4.2026'!$E:$E)</f>
        <v>HCM 036</v>
      </c>
      <c r="F132" s="145" t="s">
        <v>636</v>
      </c>
      <c r="G132" s="147" t="s">
        <v>444</v>
      </c>
      <c r="H132" s="147" t="s">
        <v>444</v>
      </c>
      <c r="I132" s="148">
        <v>46136.0</v>
      </c>
      <c r="J132" s="149">
        <f t="shared" si="49"/>
        <v>46134</v>
      </c>
      <c r="K132" s="150">
        <f>I132-3</f>
        <v>46133</v>
      </c>
      <c r="L132" s="147" t="s">
        <v>633</v>
      </c>
      <c r="M132" s="14" t="s">
        <v>7</v>
      </c>
      <c r="N132" s="159" t="s">
        <v>629</v>
      </c>
      <c r="O132" s="152">
        <f t="shared" si="5"/>
        <v>0</v>
      </c>
      <c r="P132" s="153" t="s">
        <v>438</v>
      </c>
      <c r="Q132" s="151"/>
      <c r="R132" s="151"/>
      <c r="S132" s="151"/>
      <c r="T132" s="151"/>
      <c r="U132" s="151"/>
      <c r="V132" s="151"/>
      <c r="W132" s="151"/>
      <c r="X132" s="151"/>
      <c r="Y132" s="152">
        <f t="shared" si="6"/>
        <v>4</v>
      </c>
      <c r="Z132" s="165"/>
    </row>
    <row r="133" hidden="1">
      <c r="A133" s="140">
        <f t="shared" si="1"/>
        <v>124</v>
      </c>
      <c r="B133" s="141" t="str">
        <f t="array" ref="B133">XLOOKUP(D133,'GSM T4.2026'!$B$1:$B$996,'GSM T4.2026'!$C$1:$C$996)</f>
        <v>14/11/2025</v>
      </c>
      <c r="C133" s="142" t="str">
        <f t="array" ref="C133">XLOOKUP(F133,'GSM T4.2026'!D:D,'GSM T4.2026'!F:F)</f>
        <v>Võ Văn Phi Hùng</v>
      </c>
      <c r="D133" s="143" t="str">
        <f t="array" ref="D133">XLOOKUP(F133,'GSM T4.2026'!$D:$D,'GSM T4.2026'!$B:$B)</f>
        <v>A121</v>
      </c>
      <c r="E133" s="144" t="str">
        <f t="array" ref="E133">XLOOKUP(F133,'GSM T4.2026'!D:D,'GSM T4.2026'!$E:$E)</f>
        <v>HCM 029</v>
      </c>
      <c r="F133" s="145" t="s">
        <v>637</v>
      </c>
      <c r="G133" s="146">
        <v>46006.0</v>
      </c>
      <c r="H133" s="147">
        <f t="shared" ref="H133:H134" si="51">TODAY()-G133</f>
        <v>164</v>
      </c>
      <c r="I133" s="148">
        <v>46140.0</v>
      </c>
      <c r="J133" s="149">
        <f>I133-3</f>
        <v>46137</v>
      </c>
      <c r="K133" s="150">
        <f t="shared" ref="K133:K146" si="52">I133-4</f>
        <v>46136</v>
      </c>
      <c r="L133" s="147" t="s">
        <v>638</v>
      </c>
      <c r="M133" s="14" t="s">
        <v>7</v>
      </c>
      <c r="N133" s="159" t="s">
        <v>556</v>
      </c>
      <c r="O133" s="152">
        <f t="shared" si="5"/>
        <v>0</v>
      </c>
      <c r="P133" s="153" t="s">
        <v>438</v>
      </c>
      <c r="Q133" s="151"/>
      <c r="R133" s="151"/>
      <c r="S133" s="151"/>
      <c r="T133" s="151"/>
      <c r="U133" s="151"/>
      <c r="V133" s="151"/>
      <c r="W133" s="154"/>
      <c r="X133" s="157"/>
      <c r="Y133" s="152">
        <f t="shared" si="6"/>
        <v>4</v>
      </c>
      <c r="Z133" s="165"/>
    </row>
    <row r="134" hidden="1">
      <c r="A134" s="140">
        <f t="shared" si="1"/>
        <v>125</v>
      </c>
      <c r="B134" s="141" t="str">
        <f t="array" ref="B134">XLOOKUP(D134,'GSM T4.2026'!$B$1:$B$996,'GSM T4.2026'!$C$1:$C$996)</f>
        <v>29/11/2025</v>
      </c>
      <c r="C134" s="142" t="str">
        <f t="array" ref="C134">XLOOKUP(F134,'GSM T4.2026'!D:D,'GSM T4.2026'!F:F)</f>
        <v>Võ Thị Thùy Dương</v>
      </c>
      <c r="D134" s="143" t="str">
        <f t="array" ref="D134">XLOOKUP(F134,'GSM T4.2026'!$D:$D,'GSM T4.2026'!$B:$B)</f>
        <v>A126</v>
      </c>
      <c r="E134" s="144" t="str">
        <f t="array" ref="E134">XLOOKUP(F134,'GSM T4.2026'!D:D,'GSM T4.2026'!$E:$E)</f>
        <v>HCM 032</v>
      </c>
      <c r="F134" s="145" t="s">
        <v>639</v>
      </c>
      <c r="G134" s="146">
        <v>46020.0</v>
      </c>
      <c r="H134" s="147">
        <f t="shared" si="51"/>
        <v>150</v>
      </c>
      <c r="I134" s="148"/>
      <c r="J134" s="149">
        <f t="shared" ref="J134:J142" si="53">I134-2</f>
        <v>-2</v>
      </c>
      <c r="K134" s="150">
        <f t="shared" si="52"/>
        <v>-4</v>
      </c>
      <c r="L134" s="147"/>
      <c r="M134" s="157"/>
      <c r="N134" s="151"/>
      <c r="O134" s="152">
        <f t="shared" si="5"/>
        <v>0</v>
      </c>
      <c r="P134" s="176"/>
      <c r="Q134" s="151"/>
      <c r="R134" s="151"/>
      <c r="S134" s="151"/>
      <c r="T134" s="151"/>
      <c r="U134" s="151"/>
      <c r="V134" s="151"/>
      <c r="W134" s="156"/>
      <c r="X134" s="157"/>
      <c r="Y134" s="152">
        <f t="shared" si="6"/>
        <v>12</v>
      </c>
      <c r="Z134" s="152"/>
    </row>
    <row r="135" hidden="1">
      <c r="A135" s="140">
        <f t="shared" si="1"/>
        <v>126</v>
      </c>
      <c r="B135" s="141">
        <f t="array" ref="B135">XLOOKUP(D135,'GSM T4.2026'!$B$1:$B$996,'GSM T4.2026'!$C$1:$C$996)</f>
        <v>46266</v>
      </c>
      <c r="C135" s="142" t="str">
        <f t="array" ref="C135">XLOOKUP(F135,'GSM T4.2026'!D:D,'GSM T4.2026'!F:F)</f>
        <v>Trần Hữu Vinh</v>
      </c>
      <c r="D135" s="143" t="str">
        <f t="array" ref="D135">XLOOKUP(F135,'GSM T4.2026'!$D:$D,'GSM T4.2026'!$B:$B)</f>
        <v>A146</v>
      </c>
      <c r="E135" s="144" t="str">
        <f t="array" ref="E135">XLOOKUP(F135,'GSM T4.2026'!D:D,'GSM T4.2026'!$E:$E)</f>
        <v>HCM 015</v>
      </c>
      <c r="F135" s="145" t="s">
        <v>640</v>
      </c>
      <c r="G135" s="113" t="s">
        <v>444</v>
      </c>
      <c r="H135" s="147" t="s">
        <v>444</v>
      </c>
      <c r="I135" s="148"/>
      <c r="J135" s="149">
        <f t="shared" si="53"/>
        <v>-2</v>
      </c>
      <c r="K135" s="150">
        <f t="shared" si="52"/>
        <v>-4</v>
      </c>
      <c r="L135" s="147"/>
      <c r="M135" s="161"/>
      <c r="N135" s="151"/>
      <c r="O135" s="152">
        <f t="shared" si="5"/>
        <v>0</v>
      </c>
      <c r="P135" s="161"/>
      <c r="Q135" s="161"/>
      <c r="R135" s="161"/>
      <c r="S135" s="161"/>
      <c r="T135" s="161"/>
      <c r="U135" s="161"/>
      <c r="V135" s="161"/>
      <c r="W135" s="151"/>
      <c r="X135" s="151"/>
      <c r="Y135" s="152">
        <f t="shared" si="6"/>
        <v>12</v>
      </c>
      <c r="Z135" s="152"/>
    </row>
    <row r="136" hidden="1">
      <c r="A136" s="140">
        <f t="shared" si="1"/>
        <v>127</v>
      </c>
      <c r="B136" s="141" t="str">
        <f t="array" ref="B136">XLOOKUP(D136,'GSM T4.2026'!$B$1:$B$996,'GSM T4.2026'!$C$1:$C$996)</f>
        <v>28/03/2025</v>
      </c>
      <c r="C136" s="142" t="str">
        <f t="array" ref="C136">XLOOKUP(F136,'GSM T4.2026'!D:D,'GSM T4.2026'!F:F)</f>
        <v>Trần Hữu Vinh</v>
      </c>
      <c r="D136" s="143" t="str">
        <f t="array" ref="D136">XLOOKUP(F136,'GSM T4.2026'!$D:$D,'GSM T4.2026'!$B:$B)</f>
        <v>LVY</v>
      </c>
      <c r="E136" s="144" t="str">
        <f t="array" ref="E136">XLOOKUP(F136,'GSM T4.2026'!D:D,'GSM T4.2026'!$E:$E)</f>
        <v>HCM 015</v>
      </c>
      <c r="F136" s="145" t="s">
        <v>641</v>
      </c>
      <c r="G136" s="146">
        <v>45953.0</v>
      </c>
      <c r="H136" s="147">
        <f t="shared" ref="H136:H146" si="54">TODAY()-G136</f>
        <v>217</v>
      </c>
      <c r="I136" s="148"/>
      <c r="J136" s="149">
        <f t="shared" si="53"/>
        <v>-2</v>
      </c>
      <c r="K136" s="150">
        <f t="shared" si="52"/>
        <v>-4</v>
      </c>
      <c r="L136" s="147"/>
      <c r="M136" s="157"/>
      <c r="N136" s="151"/>
      <c r="O136" s="152">
        <f t="shared" si="5"/>
        <v>0</v>
      </c>
      <c r="P136" s="157"/>
      <c r="Q136" s="157"/>
      <c r="R136" s="157"/>
      <c r="S136" s="157"/>
      <c r="T136" s="157"/>
      <c r="U136" s="157"/>
      <c r="V136" s="157"/>
      <c r="W136" s="151"/>
      <c r="X136" s="151"/>
      <c r="Y136" s="152">
        <f t="shared" si="6"/>
        <v>12</v>
      </c>
      <c r="Z136" s="152"/>
    </row>
    <row r="137">
      <c r="A137" s="140">
        <f t="shared" si="1"/>
        <v>128</v>
      </c>
      <c r="B137" s="141" t="str">
        <f t="array" ref="B137">XLOOKUP(D137,'GSM T4.2026'!$B$1:$B$996,'GSM T4.2026'!$C$1:$C$996)</f>
        <v>28/11/2025</v>
      </c>
      <c r="C137" s="142" t="str">
        <f t="array" ref="C137">XLOOKUP(F137,'GSM T4.2026'!D:D,'GSM T4.2026'!F:F)</f>
        <v>Lê Ngọc Phát</v>
      </c>
      <c r="D137" s="143" t="str">
        <f t="array" ref="D137">XLOOKUP(F137,'GSM T4.2026'!$D:$D,'GSM T4.2026'!$B:$B)</f>
        <v>A119</v>
      </c>
      <c r="E137" s="144" t="str">
        <f t="array" ref="E137">XLOOKUP(F137,'GSM T4.2026'!D:D,'GSM T4.2026'!$E:$E)</f>
        <v>HCM 027</v>
      </c>
      <c r="F137" s="145" t="s">
        <v>642</v>
      </c>
      <c r="G137" s="146">
        <v>46020.0</v>
      </c>
      <c r="H137" s="147">
        <f t="shared" si="54"/>
        <v>150</v>
      </c>
      <c r="I137" s="148">
        <v>46161.0</v>
      </c>
      <c r="J137" s="149">
        <f t="shared" si="53"/>
        <v>46159</v>
      </c>
      <c r="K137" s="150">
        <f t="shared" si="52"/>
        <v>46157</v>
      </c>
      <c r="L137" s="147" t="s">
        <v>643</v>
      </c>
      <c r="M137" s="14" t="s">
        <v>7</v>
      </c>
      <c r="N137" s="151"/>
      <c r="O137" s="152">
        <f t="shared" si="5"/>
        <v>0</v>
      </c>
      <c r="P137" s="153" t="s">
        <v>449</v>
      </c>
      <c r="Q137" s="151"/>
      <c r="R137" s="151"/>
      <c r="S137" s="151"/>
      <c r="T137" s="151"/>
      <c r="U137" s="151"/>
      <c r="V137" s="151"/>
      <c r="W137" s="185"/>
      <c r="X137" s="157"/>
      <c r="Y137" s="152">
        <f t="shared" si="6"/>
        <v>5</v>
      </c>
      <c r="Z137" s="152"/>
    </row>
    <row r="138" hidden="1">
      <c r="A138" s="140">
        <f t="shared" si="1"/>
        <v>129</v>
      </c>
      <c r="B138" s="141">
        <f t="array" ref="B138">XLOOKUP(D138,'GSM T4.2026'!$B$1:$B$996,'GSM T4.2026'!$C$1:$C$996)</f>
        <v>45968</v>
      </c>
      <c r="C138" s="142" t="str">
        <f t="array" ref="C138">XLOOKUP(F138,'GSM T4.2026'!D:D,'GSM T4.2026'!F:F)</f>
        <v>Trần Huỳnh Thơ</v>
      </c>
      <c r="D138" s="143" t="str">
        <f t="array" ref="D138">XLOOKUP(F138,'GSM T4.2026'!$D:$D,'GSM T4.2026'!$B:$B)</f>
        <v>A118</v>
      </c>
      <c r="E138" s="144" t="str">
        <f t="array" ref="E138">XLOOKUP(F138,'GSM T4.2026'!D:D,'GSM T4.2026'!$E:$E)</f>
        <v>HCM 013</v>
      </c>
      <c r="F138" s="145" t="s">
        <v>644</v>
      </c>
      <c r="G138" s="146">
        <v>46019.0</v>
      </c>
      <c r="H138" s="147">
        <f t="shared" si="54"/>
        <v>151</v>
      </c>
      <c r="I138" s="148"/>
      <c r="J138" s="149">
        <f t="shared" si="53"/>
        <v>-2</v>
      </c>
      <c r="K138" s="150">
        <f t="shared" si="52"/>
        <v>-4</v>
      </c>
      <c r="L138" s="147"/>
      <c r="M138" s="157"/>
      <c r="N138" s="151"/>
      <c r="O138" s="152">
        <f t="shared" si="5"/>
        <v>0</v>
      </c>
      <c r="P138" s="187"/>
      <c r="Q138" s="187"/>
      <c r="R138" s="187"/>
      <c r="S138" s="187"/>
      <c r="T138" s="187"/>
      <c r="U138" s="187"/>
      <c r="V138" s="187"/>
      <c r="W138" s="158"/>
      <c r="X138" s="157"/>
      <c r="Y138" s="152">
        <f t="shared" si="6"/>
        <v>12</v>
      </c>
      <c r="Z138" s="152"/>
    </row>
    <row r="139">
      <c r="A139" s="140">
        <f t="shared" si="1"/>
        <v>130</v>
      </c>
      <c r="B139" s="141" t="str">
        <f t="array" ref="B139">XLOOKUP(D139,'GSM T4.2026'!$B$1:$B$996,'GSM T4.2026'!$C$1:$C$996)</f>
        <v>27/01/2024</v>
      </c>
      <c r="C139" s="142" t="str">
        <f t="array" ref="C139">XLOOKUP(F139,'GSM T4.2026'!D:D,'GSM T4.2026'!F:F)</f>
        <v>Nguyễn Thị Tuyết Trinh</v>
      </c>
      <c r="D139" s="143" t="str">
        <f t="array" ref="D139">XLOOKUP(F139,'GSM T4.2026'!$D:$D,'GSM T4.2026'!$B:$B)</f>
        <v>AKR</v>
      </c>
      <c r="E139" s="144" t="str">
        <f t="array" ref="E139">XLOOKUP(F139,'GSM T4.2026'!D:D,'GSM T4.2026'!$E:$E)</f>
        <v>HCM 011</v>
      </c>
      <c r="F139" s="145" t="s">
        <v>645</v>
      </c>
      <c r="G139" s="146">
        <v>45859.0</v>
      </c>
      <c r="H139" s="147">
        <f t="shared" si="54"/>
        <v>311</v>
      </c>
      <c r="I139" s="148">
        <v>46163.0</v>
      </c>
      <c r="J139" s="149">
        <f t="shared" si="53"/>
        <v>46161</v>
      </c>
      <c r="K139" s="150">
        <f t="shared" si="52"/>
        <v>46159</v>
      </c>
      <c r="L139" s="147" t="s">
        <v>646</v>
      </c>
      <c r="M139" s="14" t="s">
        <v>7</v>
      </c>
      <c r="N139" s="162" t="s">
        <v>647</v>
      </c>
      <c r="O139" s="152">
        <f t="shared" si="5"/>
        <v>0</v>
      </c>
      <c r="P139" s="153" t="s">
        <v>438</v>
      </c>
      <c r="Q139" s="151"/>
      <c r="R139" s="151"/>
      <c r="S139" s="151"/>
      <c r="T139" s="151"/>
      <c r="U139" s="151"/>
      <c r="V139" s="151"/>
      <c r="W139" s="154"/>
      <c r="X139" s="157"/>
      <c r="Y139" s="152">
        <f t="shared" si="6"/>
        <v>5</v>
      </c>
      <c r="Z139" s="152"/>
    </row>
    <row r="140" hidden="1">
      <c r="A140" s="140">
        <f t="shared" si="1"/>
        <v>131</v>
      </c>
      <c r="B140" s="141" t="str">
        <f t="array" ref="B140">XLOOKUP(D140,'GSM T4.2026'!$B$1:$B$996,'GSM T4.2026'!$C$1:$C$996)</f>
        <v>18/11/2022</v>
      </c>
      <c r="C140" s="142" t="str">
        <f t="array" ref="C140">XLOOKUP(F140,'GSM T4.2026'!D:D,'GSM T4.2026'!F:F)</f>
        <v>Trần Kim Phụng</v>
      </c>
      <c r="D140" s="143" t="str">
        <f t="array" ref="D140">XLOOKUP(F140,'GSM T4.2026'!$D:$D,'GSM T4.2026'!$B:$B)</f>
        <v>LVL</v>
      </c>
      <c r="E140" s="144" t="str">
        <f t="array" ref="E140">XLOOKUP(F140,'GSM T4.2026'!D:D,'GSM T4.2026'!$E:$E)</f>
        <v>HCM 004</v>
      </c>
      <c r="F140" s="145" t="s">
        <v>648</v>
      </c>
      <c r="G140" s="146">
        <v>45906.0</v>
      </c>
      <c r="H140" s="147">
        <f t="shared" si="54"/>
        <v>264</v>
      </c>
      <c r="I140" s="148"/>
      <c r="J140" s="149">
        <f t="shared" si="53"/>
        <v>-2</v>
      </c>
      <c r="K140" s="150">
        <f t="shared" si="52"/>
        <v>-4</v>
      </c>
      <c r="L140" s="147"/>
      <c r="M140" s="175"/>
      <c r="N140" s="151"/>
      <c r="O140" s="152">
        <f t="shared" si="5"/>
        <v>0</v>
      </c>
      <c r="P140" s="151"/>
      <c r="Q140" s="151"/>
      <c r="R140" s="151"/>
      <c r="S140" s="151"/>
      <c r="T140" s="151"/>
      <c r="U140" s="151"/>
      <c r="V140" s="151"/>
      <c r="W140" s="157"/>
      <c r="X140" s="157"/>
      <c r="Y140" s="152">
        <f t="shared" si="6"/>
        <v>12</v>
      </c>
      <c r="Z140" s="152"/>
    </row>
    <row r="141" hidden="1">
      <c r="A141" s="140">
        <f t="shared" si="1"/>
        <v>132</v>
      </c>
      <c r="B141" s="141">
        <f t="array" ref="B141">XLOOKUP(D141,'GSM T4.2026'!$B$1:$B$996,'GSM T4.2026'!$C$1:$C$996)</f>
        <v>45842</v>
      </c>
      <c r="C141" s="142" t="str">
        <f t="array" ref="C141">XLOOKUP(F141,'GSM T4.2026'!D:D,'GSM T4.2026'!F:F)</f>
        <v>Trần Kim Phụng</v>
      </c>
      <c r="D141" s="143" t="str">
        <f t="array" ref="D141">XLOOKUP(F141,'GSM T4.2026'!$D:$D,'GSM T4.2026'!$B:$B)</f>
        <v>A103</v>
      </c>
      <c r="E141" s="144" t="str">
        <f t="array" ref="E141">XLOOKUP(F141,'GSM T4.2026'!D:D,'GSM T4.2026'!$E:$E)</f>
        <v>HCM 004</v>
      </c>
      <c r="F141" s="145" t="s">
        <v>649</v>
      </c>
      <c r="G141" s="146">
        <v>46014.0</v>
      </c>
      <c r="H141" s="147">
        <f t="shared" si="54"/>
        <v>156</v>
      </c>
      <c r="I141" s="148"/>
      <c r="J141" s="149">
        <f t="shared" si="53"/>
        <v>-2</v>
      </c>
      <c r="K141" s="150">
        <f t="shared" si="52"/>
        <v>-4</v>
      </c>
      <c r="L141" s="147"/>
      <c r="M141" s="175"/>
      <c r="N141" s="151"/>
      <c r="O141" s="152">
        <f t="shared" si="5"/>
        <v>0</v>
      </c>
      <c r="P141" s="151"/>
      <c r="Q141" s="151"/>
      <c r="R141" s="151"/>
      <c r="S141" s="151"/>
      <c r="T141" s="151"/>
      <c r="U141" s="151"/>
      <c r="V141" s="151"/>
      <c r="W141" s="158"/>
      <c r="X141" s="157"/>
      <c r="Y141" s="152">
        <f t="shared" si="6"/>
        <v>12</v>
      </c>
      <c r="Z141" s="152"/>
    </row>
    <row r="142">
      <c r="A142" s="140">
        <f t="shared" si="1"/>
        <v>133</v>
      </c>
      <c r="B142" s="141" t="str">
        <f t="array" ref="B142">XLOOKUP(D142,'GSM T4.2026'!$B$1:$B$996,'GSM T4.2026'!$C$1:$C$996)</f>
        <v>27/10/2022</v>
      </c>
      <c r="C142" s="142" t="str">
        <f t="array" ref="C142">XLOOKUP(F142,'GSM T4.2026'!D:D,'GSM T4.2026'!F:F)</f>
        <v>Hứa Thái Hiển</v>
      </c>
      <c r="D142" s="143" t="str">
        <f t="array" ref="D142">XLOOKUP(F142,'GSM T4.2026'!$D:$D,'GSM T4.2026'!$B:$B)</f>
        <v>PHL</v>
      </c>
      <c r="E142" s="144" t="str">
        <f t="array" ref="E142">XLOOKUP(F142,'GSM T4.2026'!D:D,'GSM T4.2026'!$E:$E)</f>
        <v>HCM 023</v>
      </c>
      <c r="F142" s="145" t="s">
        <v>519</v>
      </c>
      <c r="G142" s="146">
        <v>45826.0</v>
      </c>
      <c r="H142" s="147">
        <f t="shared" si="54"/>
        <v>344</v>
      </c>
      <c r="I142" s="148">
        <v>46166.0</v>
      </c>
      <c r="J142" s="149">
        <f t="shared" si="53"/>
        <v>46164</v>
      </c>
      <c r="K142" s="150">
        <f t="shared" si="52"/>
        <v>46162</v>
      </c>
      <c r="L142" s="147" t="s">
        <v>650</v>
      </c>
      <c r="M142" s="14" t="s">
        <v>7</v>
      </c>
      <c r="N142" s="162" t="s">
        <v>624</v>
      </c>
      <c r="O142" s="152">
        <f t="shared" si="5"/>
        <v>0</v>
      </c>
      <c r="P142" s="153" t="s">
        <v>438</v>
      </c>
      <c r="Q142" s="151"/>
      <c r="R142" s="151"/>
      <c r="S142" s="151"/>
      <c r="T142" s="151"/>
      <c r="U142" s="151"/>
      <c r="V142" s="151"/>
      <c r="W142" s="154"/>
      <c r="X142" s="157"/>
      <c r="Y142" s="152">
        <f t="shared" si="6"/>
        <v>5</v>
      </c>
      <c r="Z142" s="165"/>
    </row>
    <row r="143">
      <c r="A143" s="140">
        <f t="shared" si="1"/>
        <v>134</v>
      </c>
      <c r="B143" s="141">
        <f t="array" ref="B143">XLOOKUP(D143,'GSM T4.2026'!$B$1:$B$996,'GSM T4.2026'!$C$1:$C$996)</f>
        <v>45786</v>
      </c>
      <c r="C143" s="142" t="str">
        <f t="array" ref="C143">XLOOKUP(F143,'GSM T4.2026'!D:D,'GSM T4.2026'!F:F)</f>
        <v>Lê Huỳnh Thiện</v>
      </c>
      <c r="D143" s="143" t="str">
        <f t="array" ref="D143">XLOOKUP(F143,'GSM T4.2026'!$D:$D,'GSM T4.2026'!$B:$B)</f>
        <v>PVB</v>
      </c>
      <c r="E143" s="144" t="str">
        <f t="array" ref="E143">XLOOKUP(F143,'GSM T4.2026'!D:D,'GSM T4.2026'!$E:$E)</f>
        <v>HCM 009</v>
      </c>
      <c r="F143" s="145" t="s">
        <v>651</v>
      </c>
      <c r="G143" s="146">
        <v>45855.0</v>
      </c>
      <c r="H143" s="147">
        <f t="shared" si="54"/>
        <v>315</v>
      </c>
      <c r="I143" s="148">
        <v>46166.0</v>
      </c>
      <c r="J143" s="149">
        <f>I143-3</f>
        <v>46163</v>
      </c>
      <c r="K143" s="150">
        <f t="shared" si="52"/>
        <v>46162</v>
      </c>
      <c r="L143" s="147" t="s">
        <v>652</v>
      </c>
      <c r="M143" s="14" t="s">
        <v>7</v>
      </c>
      <c r="N143" s="151"/>
      <c r="O143" s="152">
        <f t="shared" si="5"/>
        <v>0</v>
      </c>
      <c r="P143" s="153" t="s">
        <v>449</v>
      </c>
      <c r="Q143" s="151"/>
      <c r="R143" s="151"/>
      <c r="S143" s="151"/>
      <c r="T143" s="151"/>
      <c r="U143" s="151"/>
      <c r="V143" s="151"/>
      <c r="W143" s="158"/>
      <c r="X143" s="160"/>
      <c r="Y143" s="152">
        <f t="shared" si="6"/>
        <v>5</v>
      </c>
      <c r="Z143" s="152"/>
    </row>
    <row r="144" hidden="1">
      <c r="A144" s="140">
        <f t="shared" si="1"/>
        <v>135</v>
      </c>
      <c r="B144" s="141" t="str">
        <f t="array" ref="B144">XLOOKUP(D144,'GSM T4.2026'!$B$1:$B$996,'GSM T4.2026'!$C$1:$C$996)</f>
        <v>23/11/2024</v>
      </c>
      <c r="C144" s="142" t="str">
        <f t="array" ref="C144">XLOOKUP(F144,'GSM T4.2026'!D:D,'GSM T4.2026'!F:F)</f>
        <v>Trần Tiến Thạnh</v>
      </c>
      <c r="D144" s="143" t="str">
        <f t="array" ref="D144">XLOOKUP(F144,'GSM T4.2026'!$D:$D,'GSM T4.2026'!$B:$B)</f>
        <v>VPC</v>
      </c>
      <c r="E144" s="144" t="str">
        <f t="array" ref="E144">XLOOKUP(F144,'GSM T4.2026'!D:D,'GSM T4.2026'!$E:$E)</f>
        <v>HCM 026</v>
      </c>
      <c r="F144" s="145" t="s">
        <v>653</v>
      </c>
      <c r="G144" s="146">
        <v>45973.0</v>
      </c>
      <c r="H144" s="147">
        <f t="shared" si="54"/>
        <v>197</v>
      </c>
      <c r="I144" s="148"/>
      <c r="J144" s="149">
        <f t="shared" ref="J144:J150" si="55">I144-2</f>
        <v>-2</v>
      </c>
      <c r="K144" s="150">
        <f t="shared" si="52"/>
        <v>-4</v>
      </c>
      <c r="L144" s="147"/>
      <c r="M144" s="157"/>
      <c r="N144" s="151"/>
      <c r="O144" s="152">
        <f t="shared" si="5"/>
        <v>0</v>
      </c>
      <c r="P144" s="180"/>
      <c r="Q144" s="151"/>
      <c r="R144" s="151"/>
      <c r="S144" s="151"/>
      <c r="T144" s="151"/>
      <c r="U144" s="151"/>
      <c r="V144" s="151"/>
      <c r="W144" s="183"/>
      <c r="X144" s="157"/>
      <c r="Y144" s="152">
        <f t="shared" si="6"/>
        <v>12</v>
      </c>
      <c r="Z144" s="152"/>
    </row>
    <row r="145" hidden="1">
      <c r="A145" s="140">
        <f t="shared" si="1"/>
        <v>136</v>
      </c>
      <c r="B145" s="141" t="str">
        <f t="array" ref="B145">XLOOKUP(D145,'GSM T4.2026'!$B$1:$B$996,'GSM T4.2026'!$C$1:$C$996)</f>
        <v>24/05/2025</v>
      </c>
      <c r="C145" s="142" t="str">
        <f t="array" ref="C145">XLOOKUP(F145,'GSM T4.2026'!D:D,'GSM T4.2026'!F:F)</f>
        <v>Lê Ngọc Phát</v>
      </c>
      <c r="D145" s="143" t="str">
        <f t="array" ref="D145">XLOOKUP(F145,'GSM T4.2026'!$D:$D,'GSM T4.2026'!$B:$B)</f>
        <v>A102</v>
      </c>
      <c r="E145" s="144" t="str">
        <f t="array" ref="E145">XLOOKUP(F145,'GSM T4.2026'!D:D,'GSM T4.2026'!$E:$E)</f>
        <v>HCM 027</v>
      </c>
      <c r="F145" s="145" t="s">
        <v>654</v>
      </c>
      <c r="G145" s="146">
        <v>45988.0</v>
      </c>
      <c r="H145" s="147">
        <f t="shared" si="54"/>
        <v>182</v>
      </c>
      <c r="I145" s="148"/>
      <c r="J145" s="149">
        <f t="shared" si="55"/>
        <v>-2</v>
      </c>
      <c r="K145" s="150">
        <f t="shared" si="52"/>
        <v>-4</v>
      </c>
      <c r="L145" s="147"/>
      <c r="M145" s="157"/>
      <c r="N145" s="151"/>
      <c r="O145" s="152">
        <f t="shared" si="5"/>
        <v>0</v>
      </c>
      <c r="P145" s="151"/>
      <c r="Q145" s="151"/>
      <c r="R145" s="151"/>
      <c r="S145" s="151"/>
      <c r="T145" s="151"/>
      <c r="U145" s="151"/>
      <c r="V145" s="151"/>
      <c r="W145" s="188"/>
      <c r="X145" s="172"/>
      <c r="Y145" s="152">
        <f t="shared" si="6"/>
        <v>12</v>
      </c>
      <c r="Z145" s="152"/>
    </row>
    <row r="146" hidden="1">
      <c r="A146" s="140">
        <f t="shared" si="1"/>
        <v>137</v>
      </c>
      <c r="B146" s="141">
        <f t="array" ref="B146">XLOOKUP(D146,'GSM T4.2026'!$B$1:$B$996,'GSM T4.2026'!$C$1:$C$996)</f>
        <v>45177</v>
      </c>
      <c r="C146" s="142" t="str">
        <f t="array" ref="C146">XLOOKUP(F146,'GSM T4.2026'!D:D,'GSM T4.2026'!F:F)</f>
        <v>Nguyễn Thị Ngọc Giàu</v>
      </c>
      <c r="D146" s="143" t="str">
        <f t="array" ref="D146">XLOOKUP(F146,'GSM T4.2026'!$D:$D,'GSM T4.2026'!$B:$B)</f>
        <v>THD</v>
      </c>
      <c r="E146" s="144" t="str">
        <f t="array" ref="E146">XLOOKUP(F146,'GSM T4.2026'!D:D,'GSM T4.2026'!$E:$E)</f>
        <v>HCM 031</v>
      </c>
      <c r="F146" s="145" t="s">
        <v>655</v>
      </c>
      <c r="G146" s="146">
        <v>45967.0</v>
      </c>
      <c r="H146" s="147">
        <f t="shared" si="54"/>
        <v>203</v>
      </c>
      <c r="I146" s="148"/>
      <c r="J146" s="149">
        <f t="shared" si="55"/>
        <v>-2</v>
      </c>
      <c r="K146" s="150">
        <f t="shared" si="52"/>
        <v>-4</v>
      </c>
      <c r="L146" s="147"/>
      <c r="M146" s="154"/>
      <c r="N146" s="151"/>
      <c r="O146" s="152">
        <f t="shared" si="5"/>
        <v>0</v>
      </c>
      <c r="P146" s="154"/>
      <c r="Q146" s="154"/>
      <c r="R146" s="154"/>
      <c r="S146" s="154"/>
      <c r="T146" s="154"/>
      <c r="U146" s="154"/>
      <c r="V146" s="154"/>
      <c r="W146" s="154"/>
      <c r="X146" s="154"/>
      <c r="Y146" s="152">
        <f t="shared" si="6"/>
        <v>12</v>
      </c>
      <c r="Z146" s="152"/>
    </row>
    <row r="147">
      <c r="A147" s="140">
        <f t="shared" si="1"/>
        <v>138</v>
      </c>
      <c r="B147" s="141" t="str">
        <f t="array" ref="B147">XLOOKUP(D147,'GSM T4.2026'!$B$1:$B$996,'GSM T4.2026'!$C$1:$C$996)</f>
        <v>27/12/2025</v>
      </c>
      <c r="C147" s="142" t="str">
        <f t="array" ref="C147">XLOOKUP(F147,'GSM T4.2026'!D:D,'GSM T4.2026'!F:F)</f>
        <v>Cao Chánh Tuấn</v>
      </c>
      <c r="D147" s="143" t="str">
        <f t="array" ref="D147">XLOOKUP(F147,'GSM T4.2026'!$D:$D,'GSM T4.2026'!$B:$B)</f>
        <v>A140</v>
      </c>
      <c r="E147" s="144" t="str">
        <f t="array" ref="E147">XLOOKUP(F147,'GSM T4.2026'!D:D,'GSM T4.2026'!$E:$E)</f>
        <v>HCM 010</v>
      </c>
      <c r="F147" s="145" t="s">
        <v>656</v>
      </c>
      <c r="G147" s="113" t="s">
        <v>444</v>
      </c>
      <c r="H147" s="147" t="s">
        <v>444</v>
      </c>
      <c r="I147" s="148">
        <v>46167.0</v>
      </c>
      <c r="J147" s="149">
        <f t="shared" si="55"/>
        <v>46165</v>
      </c>
      <c r="K147" s="150">
        <f>I147-3</f>
        <v>46164</v>
      </c>
      <c r="L147" s="147" t="s">
        <v>657</v>
      </c>
      <c r="M147" s="14" t="s">
        <v>7</v>
      </c>
      <c r="N147" s="151"/>
      <c r="O147" s="152">
        <f t="shared" si="5"/>
        <v>0</v>
      </c>
      <c r="P147" s="153" t="s">
        <v>449</v>
      </c>
      <c r="Q147" s="151"/>
      <c r="R147" s="151"/>
      <c r="S147" s="151"/>
      <c r="T147" s="151"/>
      <c r="U147" s="151"/>
      <c r="V147" s="151"/>
      <c r="W147" s="154"/>
      <c r="X147" s="157"/>
      <c r="Y147" s="152">
        <f t="shared" si="6"/>
        <v>5</v>
      </c>
      <c r="Z147" s="152"/>
    </row>
    <row r="148">
      <c r="A148" s="140">
        <f t="shared" si="1"/>
        <v>139</v>
      </c>
      <c r="B148" s="141" t="str">
        <f t="array" ref="B148">XLOOKUP(D148,'GSM T4.2026'!$B$1:$B$996,'GSM T4.2026'!$C$1:$C$996)</f>
        <v>29/09/2023</v>
      </c>
      <c r="C148" s="142" t="str">
        <f t="array" ref="C148">XLOOKUP(F148,'GSM T4.2026'!D:D,'GSM T4.2026'!F:F)</f>
        <v>Trần Thanh Hiền</v>
      </c>
      <c r="D148" s="143" t="str">
        <f t="array" ref="D148">XLOOKUP(F148,'GSM T4.2026'!$D:$D,'GSM T4.2026'!$B:$B)</f>
        <v>TNO</v>
      </c>
      <c r="E148" s="144" t="str">
        <f t="array" ref="E148">XLOOKUP(F148,'GSM T4.2026'!D:D,'GSM T4.2026'!$E:$E)</f>
        <v>HCM 019</v>
      </c>
      <c r="F148" s="145" t="s">
        <v>658</v>
      </c>
      <c r="G148" s="146">
        <v>45789.0</v>
      </c>
      <c r="H148" s="147">
        <f t="shared" ref="H148:H150" si="56">TODAY()-G148</f>
        <v>381</v>
      </c>
      <c r="I148" s="148">
        <v>46168.0</v>
      </c>
      <c r="J148" s="149">
        <f t="shared" si="55"/>
        <v>46166</v>
      </c>
      <c r="K148" s="150">
        <f t="shared" ref="K148:K150" si="57">I148-4</f>
        <v>46164</v>
      </c>
      <c r="L148" s="147" t="s">
        <v>659</v>
      </c>
      <c r="M148" s="14" t="s">
        <v>7</v>
      </c>
      <c r="N148" s="151"/>
      <c r="O148" s="152">
        <f t="shared" si="5"/>
        <v>0</v>
      </c>
      <c r="P148" s="153" t="s">
        <v>449</v>
      </c>
      <c r="Q148" s="151"/>
      <c r="R148" s="151"/>
      <c r="S148" s="151"/>
      <c r="T148" s="151"/>
      <c r="U148" s="151"/>
      <c r="V148" s="151"/>
      <c r="W148" s="154"/>
      <c r="X148" s="157"/>
      <c r="Y148" s="152">
        <f t="shared" si="6"/>
        <v>5</v>
      </c>
      <c r="Z148" s="152"/>
    </row>
    <row r="149">
      <c r="A149" s="140">
        <f t="shared" si="1"/>
        <v>140</v>
      </c>
      <c r="B149" s="141">
        <f t="array" ref="B149">XLOOKUP(D149,'GSM T4.2026'!$B$1:$B$996,'GSM T4.2026'!$C$1:$C$996)</f>
        <v>45114</v>
      </c>
      <c r="C149" s="142" t="str">
        <f t="array" ref="C149">XLOOKUP(F149,'GSM T4.2026'!D:D,'GSM T4.2026'!F:F)</f>
        <v>Hồng Trọng Nghĩa</v>
      </c>
      <c r="D149" s="143" t="str">
        <f t="array" ref="D149">XLOOKUP(F149,'GSM T4.2026'!$D:$D,'GSM T4.2026'!$B:$B)</f>
        <v>Q50</v>
      </c>
      <c r="E149" s="144" t="str">
        <f t="array" ref="E149">XLOOKUP(F149,'GSM T4.2026'!D:D,'GSM T4.2026'!$E:$E)</f>
        <v>HCM 022</v>
      </c>
      <c r="F149" s="145" t="s">
        <v>487</v>
      </c>
      <c r="G149" s="146">
        <v>45952.0</v>
      </c>
      <c r="H149" s="147">
        <f t="shared" si="56"/>
        <v>218</v>
      </c>
      <c r="I149" s="148">
        <v>46169.0</v>
      </c>
      <c r="J149" s="149">
        <f t="shared" si="55"/>
        <v>46167</v>
      </c>
      <c r="K149" s="150">
        <f t="shared" si="57"/>
        <v>46165</v>
      </c>
      <c r="L149" s="147" t="s">
        <v>660</v>
      </c>
      <c r="M149" s="14" t="s">
        <v>7</v>
      </c>
      <c r="N149" s="162" t="s">
        <v>661</v>
      </c>
      <c r="O149" s="152">
        <f t="shared" si="5"/>
        <v>0</v>
      </c>
      <c r="P149" s="153" t="s">
        <v>438</v>
      </c>
      <c r="Q149" s="151"/>
      <c r="R149" s="151"/>
      <c r="S149" s="151"/>
      <c r="T149" s="151"/>
      <c r="U149" s="151"/>
      <c r="V149" s="151"/>
      <c r="W149" s="158"/>
      <c r="X149" s="157"/>
      <c r="Y149" s="152">
        <f t="shared" si="6"/>
        <v>5</v>
      </c>
      <c r="Z149" s="165"/>
    </row>
    <row r="150" hidden="1">
      <c r="A150" s="140">
        <f t="shared" si="1"/>
        <v>141</v>
      </c>
      <c r="B150" s="141">
        <f t="array" ref="B150">XLOOKUP(D150,'GSM T4.2026'!$B$1:$B$996,'GSM T4.2026'!$C$1:$C$996)</f>
        <v>44778</v>
      </c>
      <c r="C150" s="142" t="str">
        <f t="array" ref="C150">XLOOKUP(F150,'GSM T4.2026'!D:D,'GSM T4.2026'!F:F)</f>
        <v>Trần Văn Hiếu</v>
      </c>
      <c r="D150" s="143" t="str">
        <f t="array" ref="D150">XLOOKUP(F150,'GSM T4.2026'!$D:$D,'GSM T4.2026'!$B:$B)</f>
        <v>CKO</v>
      </c>
      <c r="E150" s="144" t="str">
        <f t="array" ref="E150">XLOOKUP(F150,'GSM T4.2026'!D:D,'GSM T4.2026'!$E:$E)</f>
        <v>HCM 014</v>
      </c>
      <c r="F150" s="145" t="s">
        <v>662</v>
      </c>
      <c r="G150" s="146">
        <v>45931.0</v>
      </c>
      <c r="H150" s="147">
        <f t="shared" si="56"/>
        <v>239</v>
      </c>
      <c r="I150" s="148"/>
      <c r="J150" s="149">
        <f t="shared" si="55"/>
        <v>-2</v>
      </c>
      <c r="K150" s="150">
        <f t="shared" si="57"/>
        <v>-4</v>
      </c>
      <c r="L150" s="147"/>
      <c r="M150" s="154"/>
      <c r="N150" s="151"/>
      <c r="O150" s="152">
        <f t="shared" si="5"/>
        <v>0</v>
      </c>
      <c r="P150" s="154"/>
      <c r="Q150" s="154"/>
      <c r="R150" s="154"/>
      <c r="S150" s="154"/>
      <c r="T150" s="154"/>
      <c r="U150" s="154"/>
      <c r="V150" s="154"/>
      <c r="W150" s="154"/>
      <c r="X150" s="154"/>
      <c r="Y150" s="152">
        <f t="shared" si="6"/>
        <v>12</v>
      </c>
      <c r="Z150" s="152"/>
    </row>
    <row r="151">
      <c r="A151" s="140">
        <f t="shared" si="1"/>
        <v>142</v>
      </c>
      <c r="B151" s="141" t="str">
        <f t="array" ref="B151">XLOOKUP(D151,'GSM T4.2026'!$B$1:$B$996,'GSM T4.2026'!$C$1:$C$996)</f>
        <v>31/01/2026</v>
      </c>
      <c r="C151" s="142" t="str">
        <f t="array" ref="C151">XLOOKUP(F151,'GSM T4.2026'!D:D,'GSM T4.2026'!F:F)</f>
        <v>Hồng Trọng Nghĩa</v>
      </c>
      <c r="D151" s="168" t="str">
        <f t="array" ref="D151">XLOOKUP(F151,'GSM T4.2026'!$D:$D,'GSM T4.2026'!$B:$B)</f>
        <v>A131</v>
      </c>
      <c r="E151" s="144" t="str">
        <f t="array" ref="E151">XLOOKUP(F151,'GSM T4.2026'!D:D,'GSM T4.2026'!$E:$E)</f>
        <v>HCM 022</v>
      </c>
      <c r="F151" s="145" t="s">
        <v>663</v>
      </c>
      <c r="G151" s="113" t="s">
        <v>444</v>
      </c>
      <c r="H151" s="147" t="s">
        <v>444</v>
      </c>
      <c r="I151" s="148">
        <v>46166.0</v>
      </c>
      <c r="J151" s="149">
        <f>I151+2</f>
        <v>46168</v>
      </c>
      <c r="K151" s="150">
        <f>I151-1</f>
        <v>46165</v>
      </c>
      <c r="L151" s="147" t="s">
        <v>660</v>
      </c>
      <c r="M151" s="14" t="s">
        <v>7</v>
      </c>
      <c r="N151" s="162" t="s">
        <v>664</v>
      </c>
      <c r="O151" s="152">
        <f t="shared" si="5"/>
        <v>0</v>
      </c>
      <c r="P151" s="153" t="s">
        <v>438</v>
      </c>
      <c r="Q151" s="145"/>
      <c r="R151" s="145"/>
      <c r="S151" s="145"/>
      <c r="T151" s="145"/>
      <c r="U151" s="145"/>
      <c r="V151" s="145"/>
      <c r="W151" s="145"/>
      <c r="Y151" s="152">
        <f t="shared" si="6"/>
        <v>5</v>
      </c>
      <c r="Z151" s="152"/>
    </row>
    <row r="152">
      <c r="A152" s="140">
        <f t="shared" si="1"/>
        <v>143</v>
      </c>
      <c r="B152" s="141" t="str">
        <f t="array" ref="B152">XLOOKUP(D152,'GSM T4.2026'!$B$1:$B$996,'GSM T4.2026'!$C$1:$C$996)</f>
        <v>24/02/2023</v>
      </c>
      <c r="C152" s="142" t="str">
        <f t="array" ref="C152">XLOOKUP(F152,'GSM T4.2026'!D:D,'GSM T4.2026'!F:F)</f>
        <v>Hứa Thái Hiển</v>
      </c>
      <c r="D152" s="143" t="str">
        <f t="array" ref="D152">XLOOKUP(F152,'GSM T4.2026'!$D:$D,'GSM T4.2026'!$B:$B)</f>
        <v>ERT</v>
      </c>
      <c r="E152" s="144" t="str">
        <f t="array" ref="E152">XLOOKUP(F152,'GSM T4.2026'!D:D,'GSM T4.2026'!$E:$E)</f>
        <v>HCM 023</v>
      </c>
      <c r="F152" s="145" t="s">
        <v>665</v>
      </c>
      <c r="G152" s="146">
        <v>45705.0</v>
      </c>
      <c r="H152" s="147">
        <f>TODAY()-G152</f>
        <v>465</v>
      </c>
      <c r="I152" s="148">
        <v>46169.0</v>
      </c>
      <c r="J152" s="149">
        <f t="shared" ref="J152:J156" si="58">I152-2</f>
        <v>46167</v>
      </c>
      <c r="K152" s="150">
        <f>I152-4</f>
        <v>46165</v>
      </c>
      <c r="L152" s="147" t="s">
        <v>666</v>
      </c>
      <c r="M152" s="14" t="s">
        <v>7</v>
      </c>
      <c r="N152" s="162" t="s">
        <v>667</v>
      </c>
      <c r="O152" s="152">
        <f t="shared" si="5"/>
        <v>0</v>
      </c>
      <c r="P152" s="153" t="s">
        <v>438</v>
      </c>
      <c r="Q152" s="151"/>
      <c r="R152" s="151"/>
      <c r="S152" s="151"/>
      <c r="T152" s="151"/>
      <c r="U152" s="151"/>
      <c r="V152" s="151"/>
      <c r="W152" s="158"/>
      <c r="X152" s="157"/>
      <c r="Y152" s="152">
        <f t="shared" si="6"/>
        <v>5</v>
      </c>
      <c r="Z152" s="152"/>
    </row>
    <row r="153">
      <c r="A153" s="140">
        <f t="shared" si="1"/>
        <v>144</v>
      </c>
      <c r="B153" s="141" t="str">
        <f t="array" ref="B153">XLOOKUP(D153,'GSM T4.2026'!$B$1:$B$996,'GSM T4.2026'!$C$1:$C$996)</f>
        <v>19/12/2025</v>
      </c>
      <c r="C153" s="142" t="str">
        <f t="array" ref="C153">XLOOKUP(F153,'GSM T4.2026'!D:D,'GSM T4.2026'!F:F)</f>
        <v>Trần Huỳnh Thơ</v>
      </c>
      <c r="D153" s="143" t="str">
        <f t="array" ref="D153">XLOOKUP(F153,'GSM T4.2026'!$D:$D,'GSM T4.2026'!$B:$B)</f>
        <v>A120</v>
      </c>
      <c r="E153" s="144" t="str">
        <f t="array" ref="E153">XLOOKUP(F153,'GSM T4.2026'!D:D,'GSM T4.2026'!$E:$E)</f>
        <v>HCM 013</v>
      </c>
      <c r="F153" s="145" t="s">
        <v>668</v>
      </c>
      <c r="G153" s="147" t="s">
        <v>444</v>
      </c>
      <c r="H153" s="147" t="s">
        <v>444</v>
      </c>
      <c r="I153" s="148">
        <v>46167.0</v>
      </c>
      <c r="J153" s="149">
        <f t="shared" si="58"/>
        <v>46165</v>
      </c>
      <c r="K153" s="150">
        <f>I153-2</f>
        <v>46165</v>
      </c>
      <c r="L153" s="147" t="s">
        <v>669</v>
      </c>
      <c r="M153" s="14" t="s">
        <v>7</v>
      </c>
      <c r="N153" s="162" t="s">
        <v>670</v>
      </c>
      <c r="O153" s="152">
        <f t="shared" si="5"/>
        <v>0</v>
      </c>
      <c r="P153" s="153" t="s">
        <v>438</v>
      </c>
      <c r="Q153" s="189"/>
      <c r="R153" s="151"/>
      <c r="S153" s="142"/>
      <c r="T153" s="151"/>
      <c r="U153" s="151"/>
      <c r="V153" s="151"/>
      <c r="W153" s="151"/>
      <c r="X153" s="151"/>
      <c r="Y153" s="152">
        <f t="shared" si="6"/>
        <v>5</v>
      </c>
      <c r="Z153" s="165"/>
    </row>
    <row r="154" hidden="1">
      <c r="A154" s="140">
        <f t="shared" si="1"/>
        <v>145</v>
      </c>
      <c r="B154" s="141" t="str">
        <f t="array" ref="B154">XLOOKUP(D154,'GSM T4.2026'!$B$1:$B$996,'GSM T4.2026'!$C$1:$C$996)</f>
        <v>13/05/2022</v>
      </c>
      <c r="C154" s="142" t="str">
        <f t="array" ref="C154">XLOOKUP(F154,'GSM T4.2026'!D:D,'GSM T4.2026'!F:F)</f>
        <v>Huỳnh Thị Tuyết Nhi</v>
      </c>
      <c r="D154" s="143" t="str">
        <f t="array" ref="D154">XLOOKUP(F154,'GSM T4.2026'!$D:$D,'GSM T4.2026'!$B:$B)</f>
        <v>BVB</v>
      </c>
      <c r="E154" s="144" t="str">
        <f t="array" ref="E154">XLOOKUP(F154,'GSM T4.2026'!D:D,'GSM T4.2026'!$E:$E)</f>
        <v>HCM 002</v>
      </c>
      <c r="F154" s="145" t="s">
        <v>671</v>
      </c>
      <c r="G154" s="146">
        <v>45898.0</v>
      </c>
      <c r="H154" s="147">
        <f t="shared" ref="H154:H162" si="59">TODAY()-G154</f>
        <v>272</v>
      </c>
      <c r="I154" s="148"/>
      <c r="J154" s="149">
        <f t="shared" si="58"/>
        <v>-2</v>
      </c>
      <c r="K154" s="150">
        <f t="shared" ref="K154:K155" si="60">I154-4</f>
        <v>-4</v>
      </c>
      <c r="L154" s="147"/>
      <c r="M154" s="175"/>
      <c r="N154" s="151"/>
      <c r="O154" s="152">
        <f t="shared" si="5"/>
        <v>0</v>
      </c>
      <c r="P154" s="162"/>
      <c r="Q154" s="160"/>
      <c r="R154" s="160"/>
      <c r="S154" s="160"/>
      <c r="T154" s="160"/>
      <c r="U154" s="160"/>
      <c r="V154" s="167"/>
      <c r="W154" s="154"/>
      <c r="X154" s="157"/>
      <c r="Y154" s="152">
        <f t="shared" si="6"/>
        <v>12</v>
      </c>
      <c r="Z154" s="152"/>
    </row>
    <row r="155" hidden="1">
      <c r="A155" s="140">
        <f t="shared" si="1"/>
        <v>146</v>
      </c>
      <c r="B155" s="141">
        <f t="array" ref="B155">XLOOKUP(D155,'GSM T4.2026'!$B$1:$B$996,'GSM T4.2026'!$C$1:$C$996)</f>
        <v>45178</v>
      </c>
      <c r="C155" s="142" t="str">
        <f t="array" ref="C155">XLOOKUP(F155,'GSM T4.2026'!D:D,'GSM T4.2026'!F:F)</f>
        <v>Huỳnh Thị Tuyết Nhi</v>
      </c>
      <c r="D155" s="143" t="str">
        <f t="array" ref="D155">XLOOKUP(F155,'GSM T4.2026'!$D:$D,'GSM T4.2026'!$B:$B)</f>
        <v>ECG</v>
      </c>
      <c r="E155" s="144" t="str">
        <f t="array" ref="E155">XLOOKUP(F155,'GSM T4.2026'!D:D,'GSM T4.2026'!$E:$E)</f>
        <v>HCM 002</v>
      </c>
      <c r="F155" s="145" t="s">
        <v>672</v>
      </c>
      <c r="G155" s="146">
        <v>45996.0</v>
      </c>
      <c r="H155" s="147">
        <f t="shared" si="59"/>
        <v>174</v>
      </c>
      <c r="I155" s="148"/>
      <c r="J155" s="149">
        <f t="shared" si="58"/>
        <v>-2</v>
      </c>
      <c r="K155" s="150">
        <f t="shared" si="60"/>
        <v>-4</v>
      </c>
      <c r="L155" s="147"/>
      <c r="M155" s="175"/>
      <c r="N155" s="151"/>
      <c r="O155" s="152">
        <f t="shared" si="5"/>
        <v>0</v>
      </c>
      <c r="P155" s="176"/>
      <c r="Q155" s="151"/>
      <c r="R155" s="151"/>
      <c r="S155" s="151"/>
      <c r="T155" s="151"/>
      <c r="U155" s="151"/>
      <c r="V155" s="151"/>
      <c r="W155" s="151"/>
      <c r="X155" s="151"/>
      <c r="Y155" s="152">
        <f t="shared" si="6"/>
        <v>12</v>
      </c>
      <c r="Z155" s="152"/>
    </row>
    <row r="156">
      <c r="A156" s="140">
        <f t="shared" si="1"/>
        <v>147</v>
      </c>
      <c r="B156" s="141">
        <f t="array" ref="B156">XLOOKUP(D156,'GSM T4.2026'!$B$1:$B$996,'GSM T4.2026'!$C$1:$C$996)</f>
        <v>45386</v>
      </c>
      <c r="C156" s="142" t="str">
        <f t="array" ref="C156">XLOOKUP(F156,'GSM T4.2026'!D:D,'GSM T4.2026'!F:F)</f>
        <v>Phạm Duy</v>
      </c>
      <c r="D156" s="143" t="str">
        <f t="array" ref="D156">XLOOKUP(F156,'GSM T4.2026'!$D:$D,'GSM T4.2026'!$B:$B)</f>
        <v>PTN</v>
      </c>
      <c r="E156" s="144" t="str">
        <f t="array" ref="E156">XLOOKUP(F156,'GSM T4.2026'!D:D,'GSM T4.2026'!$E:$E)</f>
        <v>HCM 024</v>
      </c>
      <c r="F156" s="145" t="s">
        <v>436</v>
      </c>
      <c r="G156" s="146">
        <v>45908.0</v>
      </c>
      <c r="H156" s="147">
        <f t="shared" si="59"/>
        <v>262</v>
      </c>
      <c r="I156" s="148">
        <v>46174.0</v>
      </c>
      <c r="J156" s="149">
        <f t="shared" si="58"/>
        <v>46172</v>
      </c>
      <c r="K156" s="150">
        <f>I156-3</f>
        <v>46171</v>
      </c>
      <c r="L156" s="147" t="s">
        <v>673</v>
      </c>
      <c r="M156" s="14" t="s">
        <v>7</v>
      </c>
      <c r="N156" s="162" t="s">
        <v>664</v>
      </c>
      <c r="O156" s="152">
        <f t="shared" si="5"/>
        <v>1</v>
      </c>
      <c r="P156" s="153" t="s">
        <v>438</v>
      </c>
      <c r="Q156" s="151"/>
      <c r="R156" s="151"/>
      <c r="S156" s="151"/>
      <c r="T156" s="151"/>
      <c r="U156" s="151"/>
      <c r="V156" s="151"/>
      <c r="W156" s="151"/>
      <c r="X156" s="151"/>
      <c r="Y156" s="152">
        <f t="shared" si="6"/>
        <v>6</v>
      </c>
      <c r="Z156" s="152"/>
    </row>
    <row r="157">
      <c r="A157" s="140">
        <f t="shared" si="1"/>
        <v>148</v>
      </c>
      <c r="B157" s="141">
        <f t="array" ref="B157">XLOOKUP(D157,'GSM T4.2026'!$B$1:$B$996,'GSM T4.2026'!$C$1:$C$996)</f>
        <v>45149</v>
      </c>
      <c r="C157" s="142" t="str">
        <f t="array" ref="C157">XLOOKUP(F157,'GSM T4.2026'!D:D,'GSM T4.2026'!F:F)</f>
        <v>Võ Minh Đạt</v>
      </c>
      <c r="D157" s="143" t="str">
        <f t="array" ref="D157">XLOOKUP(F157,'GSM T4.2026'!$D:$D,'GSM T4.2026'!$B:$B)</f>
        <v>DS3</v>
      </c>
      <c r="E157" s="144" t="str">
        <f t="array" ref="E157">XLOOKUP(F157,'GSM T4.2026'!D:D,'GSM T4.2026'!$E:$E)</f>
        <v>HCM 018</v>
      </c>
      <c r="F157" s="145" t="s">
        <v>674</v>
      </c>
      <c r="G157" s="146">
        <v>45791.0</v>
      </c>
      <c r="H157" s="147">
        <f t="shared" si="59"/>
        <v>379</v>
      </c>
      <c r="I157" s="148">
        <v>46180.0</v>
      </c>
      <c r="J157" s="149">
        <f>I157+2</f>
        <v>46182</v>
      </c>
      <c r="K157" s="150">
        <f t="shared" ref="K157:K158" si="61">I157-4</f>
        <v>46176</v>
      </c>
      <c r="L157" s="147" t="s">
        <v>675</v>
      </c>
      <c r="M157" s="157"/>
      <c r="N157" s="151"/>
      <c r="O157" s="152">
        <f t="shared" si="5"/>
        <v>6</v>
      </c>
      <c r="P157" s="153" t="s">
        <v>449</v>
      </c>
      <c r="Q157" s="151"/>
      <c r="R157" s="151"/>
      <c r="S157" s="151"/>
      <c r="T157" s="151"/>
      <c r="U157" s="151"/>
      <c r="V157" s="151"/>
      <c r="W157" s="158"/>
      <c r="X157" s="160"/>
      <c r="Y157" s="152">
        <f t="shared" si="6"/>
        <v>6</v>
      </c>
      <c r="Z157" s="152"/>
    </row>
    <row r="158">
      <c r="A158" s="140">
        <f t="shared" si="1"/>
        <v>149</v>
      </c>
      <c r="B158" s="141">
        <f t="array" ref="B158">XLOOKUP(D158,'GSM T4.2026'!$B$1:$B$996,'GSM T4.2026'!$C$1:$C$996)</f>
        <v>45941</v>
      </c>
      <c r="C158" s="142" t="str">
        <f t="array" ref="C158">XLOOKUP(F158,'GSM T4.2026'!D:D,'GSM T4.2026'!F:F)</f>
        <v>Phạm Hữu Chương</v>
      </c>
      <c r="D158" s="143" t="str">
        <f t="array" ref="D158">XLOOKUP(F158,'GSM T4.2026'!$D:$D,'GSM T4.2026'!$B:$B)</f>
        <v>A111</v>
      </c>
      <c r="E158" s="144" t="str">
        <f t="array" ref="E158">XLOOKUP(F158,'GSM T4.2026'!D:D,'GSM T4.2026'!$E:$E)</f>
        <v>HCM 020</v>
      </c>
      <c r="F158" s="145" t="s">
        <v>676</v>
      </c>
      <c r="G158" s="146">
        <v>45995.0</v>
      </c>
      <c r="H158" s="147">
        <f t="shared" si="59"/>
        <v>175</v>
      </c>
      <c r="I158" s="148">
        <v>46181.0</v>
      </c>
      <c r="J158" s="149">
        <f t="shared" ref="J158:J159" si="62">I158-2</f>
        <v>46179</v>
      </c>
      <c r="K158" s="150">
        <f t="shared" si="61"/>
        <v>46177</v>
      </c>
      <c r="L158" s="147" t="s">
        <v>677</v>
      </c>
      <c r="M158" s="157"/>
      <c r="N158" s="151"/>
      <c r="O158" s="152">
        <f t="shared" si="5"/>
        <v>7</v>
      </c>
      <c r="P158" s="153" t="s">
        <v>449</v>
      </c>
      <c r="Q158" s="151"/>
      <c r="R158" s="151"/>
      <c r="S158" s="151"/>
      <c r="T158" s="151"/>
      <c r="U158" s="151"/>
      <c r="V158" s="151"/>
      <c r="W158" s="154"/>
      <c r="X158" s="160"/>
      <c r="Y158" s="152">
        <f t="shared" si="6"/>
        <v>6</v>
      </c>
      <c r="Z158" s="165"/>
    </row>
    <row r="159">
      <c r="A159" s="140">
        <f t="shared" si="1"/>
        <v>150</v>
      </c>
      <c r="B159" s="141" t="str">
        <f t="array" ref="B159">XLOOKUP(D159,'GSM T4.2026'!$B$1:$B$996,'GSM T4.2026'!$C$1:$C$996)</f>
        <v>20/12/2019</v>
      </c>
      <c r="C159" s="142" t="str">
        <f t="array" ref="C159">XLOOKUP(F159,'GSM T4.2026'!D:D,'GSM T4.2026'!F:F)</f>
        <v>Trần Huỳnh Thơ</v>
      </c>
      <c r="D159" s="143" t="str">
        <f t="array" ref="D159">XLOOKUP(F159,'GSM T4.2026'!$D:$D,'GSM T4.2026'!$B:$B)</f>
        <v>TSO</v>
      </c>
      <c r="E159" s="144" t="str">
        <f t="array" ref="E159">XLOOKUP(F159,'GSM T4.2026'!D:D,'GSM T4.2026'!$E:$E)</f>
        <v>HCM 013</v>
      </c>
      <c r="F159" s="145" t="s">
        <v>678</v>
      </c>
      <c r="G159" s="146">
        <v>45761.0</v>
      </c>
      <c r="H159" s="147">
        <f t="shared" si="59"/>
        <v>409</v>
      </c>
      <c r="I159" s="148">
        <v>46182.0</v>
      </c>
      <c r="J159" s="149">
        <f t="shared" si="62"/>
        <v>46180</v>
      </c>
      <c r="K159" s="150">
        <f>I159-2</f>
        <v>46180</v>
      </c>
      <c r="L159" s="147" t="s">
        <v>679</v>
      </c>
      <c r="M159" s="157"/>
      <c r="N159" s="159"/>
      <c r="O159" s="152">
        <f t="shared" si="5"/>
        <v>10</v>
      </c>
      <c r="P159" s="153" t="s">
        <v>449</v>
      </c>
      <c r="Q159" s="151"/>
      <c r="R159" s="151"/>
      <c r="S159" s="142"/>
      <c r="T159" s="151"/>
      <c r="U159" s="151"/>
      <c r="V159" s="151"/>
      <c r="W159" s="151"/>
      <c r="X159" s="151"/>
      <c r="Y159" s="152">
        <f t="shared" si="6"/>
        <v>6</v>
      </c>
      <c r="Z159" s="165"/>
    </row>
    <row r="160">
      <c r="A160" s="140">
        <f t="shared" si="1"/>
        <v>151</v>
      </c>
      <c r="B160" s="141" t="str">
        <f t="array" ref="B160">XLOOKUP(D160,'GSM T4.2026'!$B$1:$B$996,'GSM T4.2026'!$C$1:$C$996)</f>
        <v>21/07/2023</v>
      </c>
      <c r="C160" s="142" t="str">
        <f t="array" ref="C160">XLOOKUP(F160,'GSM T4.2026'!D:D,'GSM T4.2026'!F:F)</f>
        <v>Đoàn Ngọc Thịnh</v>
      </c>
      <c r="D160" s="143" t="str">
        <f t="array" ref="D160">XLOOKUP(F160,'GSM T4.2026'!$D:$D,'GSM T4.2026'!$B:$B)</f>
        <v>BQI</v>
      </c>
      <c r="E160" s="144" t="str">
        <f t="array" ref="E160">XLOOKUP(F160,'GSM T4.2026'!D:D,'GSM T4.2026'!$E:$E)</f>
        <v>HCM 025</v>
      </c>
      <c r="F160" s="145" t="s">
        <v>680</v>
      </c>
      <c r="G160" s="146">
        <v>45858.0</v>
      </c>
      <c r="H160" s="147">
        <f t="shared" si="59"/>
        <v>312</v>
      </c>
      <c r="I160" s="148">
        <v>46191.0</v>
      </c>
      <c r="J160" s="149">
        <f>I160-3</f>
        <v>46188</v>
      </c>
      <c r="K160" s="150">
        <f t="shared" ref="K160:K161" si="63">I160-4</f>
        <v>46187</v>
      </c>
      <c r="L160" s="147" t="s">
        <v>681</v>
      </c>
      <c r="M160" s="175"/>
      <c r="N160" s="151"/>
      <c r="O160" s="152">
        <f t="shared" si="5"/>
        <v>17</v>
      </c>
      <c r="P160" s="153" t="s">
        <v>449</v>
      </c>
      <c r="Q160" s="151"/>
      <c r="R160" s="151"/>
      <c r="S160" s="151"/>
      <c r="T160" s="151"/>
      <c r="U160" s="151"/>
      <c r="V160" s="151"/>
      <c r="W160" s="151"/>
      <c r="X160" s="151"/>
      <c r="Y160" s="152">
        <f t="shared" si="6"/>
        <v>6</v>
      </c>
      <c r="Z160" s="152"/>
    </row>
    <row r="161" hidden="1">
      <c r="A161" s="140">
        <f t="shared" si="1"/>
        <v>152</v>
      </c>
      <c r="B161" s="141" t="str">
        <f t="array" ref="B161">XLOOKUP(D161,'GSM T4.2026'!$B$1:$B$996,'GSM T4.2026'!$C$1:$C$996)</f>
        <v>19/07/2024</v>
      </c>
      <c r="C161" s="142" t="str">
        <f t="array" ref="C161">XLOOKUP(F161,'GSM T4.2026'!D:D,'GSM T4.2026'!F:F)</f>
        <v>Võ Văn Phi Hùng</v>
      </c>
      <c r="D161" s="143" t="str">
        <f t="array" ref="D161">XLOOKUP(F161,'GSM T4.2026'!$D:$D,'GSM T4.2026'!$B:$B)</f>
        <v>CLN</v>
      </c>
      <c r="E161" s="144" t="str">
        <f t="array" ref="E161">XLOOKUP(F161,'GSM T4.2026'!D:D,'GSM T4.2026'!$E:$E)</f>
        <v>HCM 029</v>
      </c>
      <c r="F161" s="145" t="s">
        <v>682</v>
      </c>
      <c r="G161" s="146">
        <v>45929.0</v>
      </c>
      <c r="H161" s="147">
        <f t="shared" si="59"/>
        <v>241</v>
      </c>
      <c r="I161" s="148"/>
      <c r="J161" s="149">
        <f>I161-2</f>
        <v>-2</v>
      </c>
      <c r="K161" s="150">
        <f t="shared" si="63"/>
        <v>-4</v>
      </c>
      <c r="L161" s="147"/>
      <c r="M161" s="157"/>
      <c r="N161" s="151"/>
      <c r="O161" s="152">
        <f t="shared" si="5"/>
        <v>0</v>
      </c>
      <c r="P161" s="180"/>
      <c r="Q161" s="151"/>
      <c r="R161" s="151"/>
      <c r="S161" s="151"/>
      <c r="T161" s="151"/>
      <c r="U161" s="151"/>
      <c r="V161" s="151"/>
      <c r="W161" s="154"/>
      <c r="X161" s="160"/>
      <c r="Y161" s="152">
        <f t="shared" si="6"/>
        <v>12</v>
      </c>
      <c r="Z161" s="152"/>
    </row>
    <row r="162">
      <c r="A162" s="140">
        <f t="shared" si="1"/>
        <v>153</v>
      </c>
      <c r="B162" s="141" t="str">
        <f t="array" ref="B162">XLOOKUP(D162,'GSM T4.2026'!$B$1:$B$996,'GSM T4.2026'!$C$1:$C$996)</f>
        <v>19/04/2025</v>
      </c>
      <c r="C162" s="142" t="str">
        <f t="array" ref="C162">XLOOKUP(F162,'GSM T4.2026'!D:D,'GSM T4.2026'!F:F)</f>
        <v>Lê Thị Bích Liểu</v>
      </c>
      <c r="D162" s="143" t="str">
        <f t="array" ref="D162">XLOOKUP(F162,'GSM T4.2026'!$D:$D,'GSM T4.2026'!$B:$B)</f>
        <v>MTE</v>
      </c>
      <c r="E162" s="144" t="str">
        <f t="array" ref="E162">XLOOKUP(F162,'GSM T4.2026'!D:D,'GSM T4.2026'!$E:$E)</f>
        <v>HCM 034</v>
      </c>
      <c r="F162" s="145" t="s">
        <v>683</v>
      </c>
      <c r="G162" s="146">
        <v>45831.0</v>
      </c>
      <c r="H162" s="147">
        <f t="shared" si="59"/>
        <v>339</v>
      </c>
      <c r="I162" s="148">
        <v>46198.0</v>
      </c>
      <c r="J162" s="149">
        <f>I162-3</f>
        <v>46195</v>
      </c>
      <c r="K162" s="150">
        <f>I162-5</f>
        <v>46193</v>
      </c>
      <c r="L162" s="147" t="s">
        <v>684</v>
      </c>
      <c r="M162" s="157"/>
      <c r="N162" s="151"/>
      <c r="O162" s="152">
        <f t="shared" si="5"/>
        <v>23</v>
      </c>
      <c r="P162" s="153" t="s">
        <v>449</v>
      </c>
      <c r="Q162" s="157"/>
      <c r="R162" s="157"/>
      <c r="S162" s="157"/>
      <c r="T162" s="157"/>
      <c r="U162" s="157"/>
      <c r="V162" s="157"/>
      <c r="W162" s="154"/>
      <c r="X162" s="157"/>
      <c r="Y162" s="152">
        <f t="shared" si="6"/>
        <v>6</v>
      </c>
      <c r="Z162" s="152"/>
    </row>
    <row r="163" hidden="1">
      <c r="A163" s="140">
        <f t="shared" si="1"/>
        <v>154</v>
      </c>
      <c r="B163" s="141" t="str">
        <f t="array" ref="B163">XLOOKUP(D163,'GSM T4.2026'!$B$1:$B$996,'GSM T4.2026'!$C$1:$C$996)</f>
        <v>20/03/2026</v>
      </c>
      <c r="C163" s="142" t="str">
        <f t="array" ref="C163">XLOOKUP(F163,'GSM T4.2026'!D:D,'GSM T4.2026'!F:F)</f>
        <v>Phạm Duy</v>
      </c>
      <c r="D163" s="168" t="str">
        <f t="array" ref="D163">XLOOKUP(F163,'GSM T4.2026'!$D:$D,'GSM T4.2026'!$B:$B)</f>
        <v>A150</v>
      </c>
      <c r="E163" s="144" t="str">
        <f t="array" ref="E163">XLOOKUP(F163,'GSM T4.2026'!D:D,'GSM T4.2026'!$E:$E)</f>
        <v>HCM 024</v>
      </c>
      <c r="F163" s="145" t="s">
        <v>685</v>
      </c>
      <c r="G163" s="113" t="s">
        <v>444</v>
      </c>
      <c r="H163" s="147" t="s">
        <v>444</v>
      </c>
      <c r="I163" s="148"/>
      <c r="J163" s="149">
        <f t="shared" ref="J163:J167" si="64">I163-2</f>
        <v>-2</v>
      </c>
      <c r="K163" s="150">
        <f t="shared" ref="K163:K167" si="65">I163-4</f>
        <v>-4</v>
      </c>
      <c r="L163" s="145"/>
      <c r="M163" s="145"/>
      <c r="O163" s="152">
        <f t="shared" si="5"/>
        <v>0</v>
      </c>
      <c r="P163" s="145"/>
      <c r="Q163" s="145"/>
      <c r="R163" s="145"/>
      <c r="S163" s="145"/>
      <c r="T163" s="145"/>
      <c r="U163" s="145"/>
      <c r="V163" s="145"/>
      <c r="W163" s="145"/>
      <c r="Y163" s="152">
        <f t="shared" si="6"/>
        <v>12</v>
      </c>
      <c r="Z163" s="152"/>
    </row>
    <row r="164" hidden="1">
      <c r="A164" s="140">
        <f t="shared" si="1"/>
        <v>155</v>
      </c>
      <c r="B164" s="141" t="str">
        <f t="array" ref="B164">XLOOKUP(D164,'GSM T4.2026'!$B$1:$B$996,'GSM T4.2026'!$C$1:$C$996)</f>
        <v>21/03/2026</v>
      </c>
      <c r="C164" s="142" t="str">
        <f t="array" ref="C164">XLOOKUP(F164,'GSM T4.2026'!D:D,'GSM T4.2026'!F:F)</f>
        <v>Nguyễn Thuỷ Tiên</v>
      </c>
      <c r="D164" s="168" t="str">
        <f t="array" ref="D164">XLOOKUP(F164,'GSM T4.2026'!$D:$D,'GSM T4.2026'!$B:$B)</f>
        <v>A165</v>
      </c>
      <c r="E164" s="144" t="str">
        <f t="array" ref="E164">XLOOKUP(F164,'GSM T4.2026'!D:D,'GSM T4.2026'!$E:$E)</f>
        <v>HCM 003</v>
      </c>
      <c r="F164" s="145" t="s">
        <v>686</v>
      </c>
      <c r="G164" s="113" t="s">
        <v>444</v>
      </c>
      <c r="H164" s="147" t="s">
        <v>444</v>
      </c>
      <c r="I164" s="148"/>
      <c r="J164" s="149">
        <f t="shared" si="64"/>
        <v>-2</v>
      </c>
      <c r="K164" s="150">
        <f t="shared" si="65"/>
        <v>-4</v>
      </c>
      <c r="L164" s="190"/>
      <c r="M164" s="151"/>
      <c r="O164" s="152">
        <f t="shared" si="5"/>
        <v>0</v>
      </c>
      <c r="P164" s="176"/>
      <c r="Q164" s="151"/>
      <c r="R164" s="151"/>
      <c r="S164" s="151"/>
      <c r="T164" s="151"/>
      <c r="U164" s="151"/>
      <c r="V164" s="151"/>
      <c r="W164" s="151"/>
      <c r="X164" s="151"/>
      <c r="Y164" s="152">
        <f t="shared" si="6"/>
        <v>12</v>
      </c>
      <c r="Z164" s="152"/>
    </row>
    <row r="165" hidden="1">
      <c r="A165" s="140">
        <f t="shared" si="1"/>
        <v>156</v>
      </c>
      <c r="B165" s="141" t="str">
        <f t="array" ref="B165">XLOOKUP(D165,'GSM T4.2026'!$B$1:$B$996,'GSM T4.2026'!$C$1:$C$996)</f>
        <v>27/03/2026</v>
      </c>
      <c r="C165" s="142" t="str">
        <f t="array" ref="C165">XLOOKUP(F165,'GSM T4.2026'!D:D,'GSM T4.2026'!F:F)</f>
        <v>Võ Văn Phi Hùng</v>
      </c>
      <c r="D165" s="168" t="str">
        <f t="array" ref="D165">XLOOKUP(F165,'GSM T4.2026'!$D:$D,'GSM T4.2026'!$B:$B)</f>
        <v>A163</v>
      </c>
      <c r="E165" s="144" t="str">
        <f t="array" ref="E165">XLOOKUP(F165,'GSM T4.2026'!D:D,'GSM T4.2026'!$E:$E)</f>
        <v>HCM 029</v>
      </c>
      <c r="F165" s="145" t="s">
        <v>687</v>
      </c>
      <c r="G165" s="113" t="s">
        <v>444</v>
      </c>
      <c r="H165" s="147" t="s">
        <v>444</v>
      </c>
      <c r="I165" s="148"/>
      <c r="J165" s="149">
        <f t="shared" si="64"/>
        <v>-2</v>
      </c>
      <c r="K165" s="150">
        <f t="shared" si="65"/>
        <v>-4</v>
      </c>
      <c r="L165" s="190"/>
      <c r="M165" s="151"/>
      <c r="O165" s="152">
        <f t="shared" si="5"/>
        <v>0</v>
      </c>
      <c r="P165" s="176"/>
      <c r="Q165" s="151"/>
      <c r="R165" s="151"/>
      <c r="S165" s="151"/>
      <c r="T165" s="151"/>
      <c r="U165" s="151"/>
      <c r="V165" s="151"/>
      <c r="W165" s="151"/>
      <c r="X165" s="151"/>
      <c r="Y165" s="152">
        <f t="shared" si="6"/>
        <v>12</v>
      </c>
      <c r="Z165" s="152"/>
    </row>
    <row r="166" hidden="1">
      <c r="A166" s="140">
        <f t="shared" si="1"/>
        <v>157</v>
      </c>
      <c r="B166" s="141" t="str">
        <f t="array" ref="B166">XLOOKUP(D166,'GSM T4.2026'!$B$1:$B$996,'GSM T4.2026'!$C$1:$C$996)</f>
        <v>27/03/2026</v>
      </c>
      <c r="C166" s="142" t="str">
        <f t="array" ref="C166">XLOOKUP(F166,'GSM T4.2026'!D:D,'GSM T4.2026'!F:F)</f>
        <v>Nguyễn Đình Vũ</v>
      </c>
      <c r="D166" s="168" t="str">
        <f t="array" ref="D166">XLOOKUP(F166,'GSM T4.2026'!$D:$D,'GSM T4.2026'!$B:$B)</f>
        <v>A156</v>
      </c>
      <c r="E166" s="144" t="str">
        <f t="array" ref="E166">XLOOKUP(F166,'GSM T4.2026'!D:D,'GSM T4.2026'!$E:$E)</f>
        <v>HCM 006</v>
      </c>
      <c r="F166" s="145" t="s">
        <v>688</v>
      </c>
      <c r="G166" s="113" t="s">
        <v>444</v>
      </c>
      <c r="H166" s="147" t="s">
        <v>444</v>
      </c>
      <c r="I166" s="148"/>
      <c r="J166" s="149">
        <f t="shared" si="64"/>
        <v>-2</v>
      </c>
      <c r="K166" s="150">
        <f t="shared" si="65"/>
        <v>-4</v>
      </c>
      <c r="L166" s="190"/>
      <c r="M166" s="151"/>
      <c r="O166" s="152">
        <f t="shared" si="5"/>
        <v>0</v>
      </c>
      <c r="P166" s="176"/>
      <c r="Q166" s="151"/>
      <c r="R166" s="151"/>
      <c r="S166" s="151"/>
      <c r="T166" s="151"/>
      <c r="U166" s="151"/>
      <c r="V166" s="151"/>
      <c r="W166" s="151"/>
      <c r="X166" s="151"/>
      <c r="Y166" s="152">
        <f t="shared" si="6"/>
        <v>12</v>
      </c>
      <c r="Z166" s="152"/>
    </row>
    <row r="167">
      <c r="A167" s="140">
        <f t="shared" si="1"/>
        <v>158</v>
      </c>
      <c r="B167" s="141" t="str">
        <f t="array" ref="B167">XLOOKUP(D167,'GSM T4.2026'!$B$1:$B$996,'GSM T4.2026'!$C$1:$C$996)</f>
        <v>16/01/2026</v>
      </c>
      <c r="C167" s="142" t="str">
        <f t="array" ref="C167">XLOOKUP(F167,'GSM T4.2026'!D:D,'GSM T4.2026'!F:F)</f>
        <v>Trần Huỳnh Thơ</v>
      </c>
      <c r="D167" s="143" t="str">
        <f t="array" ref="D167">XLOOKUP(F167,'GSM T4.2026'!$D:$D,'GSM T4.2026'!$B:$B)</f>
        <v>A143</v>
      </c>
      <c r="E167" s="144" t="str">
        <f t="array" ref="E167">XLOOKUP(F167,'GSM T4.2026'!D:D,'GSM T4.2026'!$E:$E)</f>
        <v>HCM 013</v>
      </c>
      <c r="F167" s="145" t="s">
        <v>689</v>
      </c>
      <c r="G167" s="147" t="s">
        <v>444</v>
      </c>
      <c r="H167" s="147" t="s">
        <v>444</v>
      </c>
      <c r="I167" s="148">
        <v>46228.0</v>
      </c>
      <c r="J167" s="149">
        <f t="shared" si="64"/>
        <v>46226</v>
      </c>
      <c r="K167" s="150">
        <f t="shared" si="65"/>
        <v>46224</v>
      </c>
      <c r="L167" s="147" t="s">
        <v>690</v>
      </c>
      <c r="M167" s="145"/>
      <c r="N167" s="159"/>
      <c r="O167" s="152">
        <f t="shared" si="5"/>
        <v>54</v>
      </c>
      <c r="P167" s="153" t="s">
        <v>449</v>
      </c>
      <c r="Q167" s="145"/>
      <c r="R167" s="145"/>
      <c r="S167" s="145"/>
      <c r="T167" s="145"/>
      <c r="U167" s="145"/>
      <c r="V167" s="145"/>
      <c r="W167" s="145"/>
      <c r="Y167" s="152">
        <f t="shared" si="6"/>
        <v>7</v>
      </c>
      <c r="Z167" s="152"/>
    </row>
    <row r="168" hidden="1">
      <c r="A168" s="140">
        <f t="shared" si="1"/>
        <v>159</v>
      </c>
      <c r="B168" s="182" t="s">
        <v>556</v>
      </c>
      <c r="C168" s="142" t="str">
        <f t="array" ref="C168">XLOOKUP(F168,'GSM T4.2026'!D:D,'GSM T4.2026'!F:F)</f>
        <v>Trần Kim Phụng</v>
      </c>
      <c r="D168" s="147" t="s">
        <v>691</v>
      </c>
      <c r="E168" s="144" t="str">
        <f t="array" ref="E168">XLOOKUP(F168,'GSM T4.2026'!D:D,'GSM T4.2026'!$E:$E)</f>
        <v>HCM 004</v>
      </c>
      <c r="F168" s="145" t="s">
        <v>692</v>
      </c>
      <c r="G168" s="113" t="s">
        <v>444</v>
      </c>
      <c r="H168" s="147" t="s">
        <v>444</v>
      </c>
      <c r="I168" s="148"/>
      <c r="J168" s="149"/>
      <c r="K168" s="150"/>
      <c r="L168" s="190"/>
      <c r="M168" s="151"/>
      <c r="O168" s="152">
        <f t="shared" si="5"/>
        <v>0</v>
      </c>
      <c r="P168" s="176"/>
      <c r="Q168" s="151"/>
      <c r="R168" s="151"/>
      <c r="S168" s="151"/>
      <c r="T168" s="151"/>
      <c r="U168" s="151"/>
      <c r="V168" s="151"/>
      <c r="W168" s="151"/>
      <c r="X168" s="151"/>
      <c r="Y168" s="152">
        <f t="shared" si="6"/>
        <v>12</v>
      </c>
      <c r="Z168" s="152"/>
    </row>
    <row r="169" hidden="1">
      <c r="A169" s="140">
        <f t="shared" si="1"/>
        <v>160</v>
      </c>
      <c r="B169" s="191">
        <v>46330.0</v>
      </c>
      <c r="C169" s="142" t="str">
        <f t="array" ref="C169">XLOOKUP(F169,'GSM T4.2026'!D:D,'GSM T4.2026'!F:F)</f>
        <v>Trần Kim Phụng</v>
      </c>
      <c r="D169" s="147" t="s">
        <v>693</v>
      </c>
      <c r="E169" s="144" t="str">
        <f t="array" ref="E169">XLOOKUP(F169,'GSM T4.2026'!D:D,'GSM T4.2026'!$E:$E)</f>
        <v>HCM 004</v>
      </c>
      <c r="F169" s="145" t="s">
        <v>694</v>
      </c>
      <c r="G169" s="113" t="s">
        <v>444</v>
      </c>
      <c r="H169" s="147" t="s">
        <v>444</v>
      </c>
      <c r="I169" s="148"/>
      <c r="J169" s="149"/>
      <c r="K169" s="150"/>
      <c r="L169" s="190"/>
      <c r="M169" s="151"/>
      <c r="O169" s="152">
        <f t="shared" si="5"/>
        <v>0</v>
      </c>
      <c r="P169" s="176"/>
      <c r="Q169" s="151"/>
      <c r="R169" s="151"/>
      <c r="S169" s="151"/>
      <c r="T169" s="151"/>
      <c r="U169" s="151"/>
      <c r="V169" s="151"/>
      <c r="W169" s="151"/>
      <c r="X169" s="151"/>
      <c r="Y169" s="152"/>
      <c r="Z169" s="152"/>
    </row>
    <row r="170" hidden="1">
      <c r="A170" s="140">
        <f t="shared" si="1"/>
        <v>161</v>
      </c>
      <c r="B170" s="182" t="s">
        <v>556</v>
      </c>
      <c r="C170" s="142" t="str">
        <f t="array" ref="C170">XLOOKUP(F170,'GSM T4.2026'!D:D,'GSM T4.2026'!F:F)</f>
        <v>Trần Kim Phụng</v>
      </c>
      <c r="D170" s="147" t="s">
        <v>695</v>
      </c>
      <c r="E170" s="144" t="str">
        <f t="array" ref="E170">XLOOKUP(F170,'GSM T4.2026'!D:D,'GSM T4.2026'!$E:$E)</f>
        <v>HCM 004</v>
      </c>
      <c r="F170" s="145" t="s">
        <v>696</v>
      </c>
      <c r="G170" s="113" t="s">
        <v>444</v>
      </c>
      <c r="H170" s="147" t="s">
        <v>444</v>
      </c>
      <c r="I170" s="148"/>
      <c r="J170" s="149"/>
      <c r="K170" s="150"/>
      <c r="L170" s="190"/>
      <c r="M170" s="151"/>
      <c r="O170" s="152">
        <f t="shared" si="5"/>
        <v>0</v>
      </c>
      <c r="P170" s="176"/>
      <c r="Q170" s="151"/>
      <c r="R170" s="151"/>
      <c r="S170" s="151"/>
      <c r="T170" s="151"/>
      <c r="U170" s="151"/>
      <c r="V170" s="151"/>
      <c r="W170" s="151"/>
      <c r="X170" s="151"/>
      <c r="Y170" s="152"/>
      <c r="Z170" s="152"/>
    </row>
    <row r="171" hidden="1">
      <c r="A171" s="140">
        <f t="shared" si="1"/>
        <v>162</v>
      </c>
      <c r="B171" s="182" t="s">
        <v>697</v>
      </c>
      <c r="C171" s="142" t="str">
        <f t="array" ref="C171">XLOOKUP(F171,'GSM T4.2026'!D:D,'GSM T4.2026'!F:F)</f>
        <v>Nguyễn Minh Thắng</v>
      </c>
      <c r="D171" s="147" t="s">
        <v>698</v>
      </c>
      <c r="E171" s="144" t="str">
        <f t="array" ref="E171">XLOOKUP(F171,'GSM T4.2026'!D:D,'GSM T4.2026'!$E:$E)</f>
        <v>HCM 001</v>
      </c>
      <c r="F171" s="145" t="s">
        <v>699</v>
      </c>
      <c r="G171" s="113" t="s">
        <v>444</v>
      </c>
      <c r="H171" s="147" t="s">
        <v>444</v>
      </c>
      <c r="I171" s="148"/>
      <c r="J171" s="149"/>
      <c r="K171" s="150"/>
      <c r="L171" s="190"/>
      <c r="M171" s="151"/>
      <c r="O171" s="152">
        <f t="shared" si="5"/>
        <v>0</v>
      </c>
      <c r="P171" s="176"/>
      <c r="Q171" s="151"/>
      <c r="R171" s="151"/>
      <c r="S171" s="151"/>
      <c r="T171" s="151"/>
      <c r="U171" s="151"/>
      <c r="V171" s="151"/>
      <c r="W171" s="151"/>
      <c r="X171" s="151"/>
      <c r="Y171" s="152"/>
      <c r="Z171" s="152"/>
    </row>
    <row r="172" hidden="1">
      <c r="A172" s="140">
        <f t="shared" si="1"/>
        <v>163</v>
      </c>
      <c r="B172" s="191">
        <v>46299.0</v>
      </c>
      <c r="C172" s="142" t="str">
        <f t="array" ref="C172">XLOOKUP(F172,'GSM T4.2026'!D:D,'GSM T4.2026'!F:F)</f>
        <v>Nguyễn Minh Thắng</v>
      </c>
      <c r="D172" s="147" t="s">
        <v>700</v>
      </c>
      <c r="E172" s="144" t="str">
        <f t="array" ref="E172">XLOOKUP(F172,'GSM T4.2026'!D:D,'GSM T4.2026'!$E:$E)</f>
        <v>HCM 001</v>
      </c>
      <c r="F172" s="145" t="s">
        <v>701</v>
      </c>
      <c r="G172" s="113" t="s">
        <v>444</v>
      </c>
      <c r="H172" s="147" t="s">
        <v>444</v>
      </c>
      <c r="I172" s="148"/>
      <c r="J172" s="149"/>
      <c r="K172" s="150"/>
      <c r="L172" s="190"/>
      <c r="M172" s="151"/>
      <c r="O172" s="152">
        <f t="shared" si="5"/>
        <v>0</v>
      </c>
      <c r="P172" s="176"/>
      <c r="Q172" s="151"/>
      <c r="R172" s="151"/>
      <c r="S172" s="151"/>
      <c r="T172" s="151"/>
      <c r="U172" s="151"/>
      <c r="V172" s="151"/>
      <c r="W172" s="151"/>
      <c r="X172" s="151"/>
      <c r="Y172" s="152"/>
      <c r="Z172" s="152"/>
    </row>
    <row r="173" hidden="1">
      <c r="A173" s="140">
        <f t="shared" si="1"/>
        <v>164</v>
      </c>
      <c r="B173" s="182" t="s">
        <v>598</v>
      </c>
      <c r="C173" s="142" t="str">
        <f t="array" ref="C173">XLOOKUP(F173,'GSM T4.2026'!D:D,'GSM T4.2026'!F:F)</f>
        <v>Võ Minh Đạt</v>
      </c>
      <c r="D173" s="147" t="s">
        <v>702</v>
      </c>
      <c r="E173" s="144" t="str">
        <f t="array" ref="E173">XLOOKUP(F173,'GSM T4.2026'!D:D,'GSM T4.2026'!$E:$E)</f>
        <v>HCM 018</v>
      </c>
      <c r="F173" s="145" t="s">
        <v>703</v>
      </c>
      <c r="G173" s="113" t="s">
        <v>444</v>
      </c>
      <c r="H173" s="147" t="s">
        <v>444</v>
      </c>
      <c r="I173" s="148"/>
      <c r="J173" s="149"/>
      <c r="K173" s="150"/>
      <c r="L173" s="190"/>
      <c r="M173" s="151"/>
      <c r="O173" s="152">
        <f t="shared" si="5"/>
        <v>0</v>
      </c>
      <c r="P173" s="176"/>
      <c r="Q173" s="151"/>
      <c r="R173" s="151"/>
      <c r="S173" s="151"/>
      <c r="T173" s="151"/>
      <c r="U173" s="151"/>
      <c r="V173" s="151"/>
      <c r="W173" s="151"/>
      <c r="X173" s="151"/>
      <c r="Y173" s="152"/>
      <c r="Z173" s="152"/>
    </row>
    <row r="174" hidden="1">
      <c r="A174" s="140">
        <f t="shared" si="1"/>
        <v>165</v>
      </c>
      <c r="B174" s="182" t="s">
        <v>556</v>
      </c>
      <c r="C174" s="142" t="str">
        <f t="array" ref="C174">XLOOKUP(F174,'GSM T4.2026'!D:D,'GSM T4.2026'!F:F)</f>
        <v>Võ Thị Thùy Dương</v>
      </c>
      <c r="D174" s="147" t="s">
        <v>704</v>
      </c>
      <c r="E174" s="144" t="str">
        <f t="array" ref="E174">XLOOKUP(F174,'GSM T4.2026'!D:D,'GSM T4.2026'!$E:$E)</f>
        <v>HCM 032</v>
      </c>
      <c r="F174" s="145" t="s">
        <v>705</v>
      </c>
      <c r="G174" s="113" t="s">
        <v>444</v>
      </c>
      <c r="H174" s="147" t="s">
        <v>444</v>
      </c>
      <c r="I174" s="148"/>
      <c r="J174" s="149"/>
      <c r="K174" s="150"/>
      <c r="L174" s="190"/>
      <c r="M174" s="151"/>
      <c r="O174" s="152">
        <f t="shared" si="5"/>
        <v>0</v>
      </c>
      <c r="P174" s="176"/>
      <c r="Q174" s="151"/>
      <c r="R174" s="151"/>
      <c r="S174" s="151"/>
      <c r="T174" s="151"/>
      <c r="U174" s="151"/>
      <c r="V174" s="151"/>
      <c r="W174" s="151"/>
      <c r="X174" s="151"/>
      <c r="Y174" s="152"/>
      <c r="Z174" s="152"/>
    </row>
    <row r="175" hidden="1">
      <c r="A175" s="140">
        <f t="shared" si="1"/>
        <v>166</v>
      </c>
      <c r="B175" s="191">
        <v>46299.0</v>
      </c>
      <c r="C175" s="142" t="str">
        <f t="array" ref="C175">XLOOKUP(F175,'GSM T4.2026'!D:D,'GSM T4.2026'!F:F)</f>
        <v>Võ Thị Thùy Dương</v>
      </c>
      <c r="D175" s="147" t="s">
        <v>695</v>
      </c>
      <c r="E175" s="144" t="str">
        <f t="array" ref="E175">XLOOKUP(F175,'GSM T4.2026'!D:D,'GSM T4.2026'!$E:$E)</f>
        <v>HCM 032</v>
      </c>
      <c r="F175" s="145" t="s">
        <v>706</v>
      </c>
      <c r="G175" s="113" t="s">
        <v>444</v>
      </c>
      <c r="H175" s="147" t="s">
        <v>444</v>
      </c>
      <c r="I175" s="148"/>
      <c r="J175" s="149"/>
      <c r="K175" s="150"/>
      <c r="L175" s="190"/>
      <c r="M175" s="151"/>
      <c r="O175" s="152">
        <f t="shared" si="5"/>
        <v>0</v>
      </c>
      <c r="P175" s="176"/>
      <c r="Q175" s="151"/>
      <c r="R175" s="151"/>
      <c r="S175" s="151"/>
      <c r="T175" s="151"/>
      <c r="U175" s="151"/>
      <c r="V175" s="151"/>
      <c r="W175" s="151"/>
      <c r="X175" s="151"/>
      <c r="Y175" s="152"/>
      <c r="Z175" s="152"/>
    </row>
    <row r="176" hidden="1">
      <c r="A176" s="140">
        <f t="shared" si="1"/>
        <v>167</v>
      </c>
      <c r="B176" s="182" t="s">
        <v>598</v>
      </c>
      <c r="C176" s="142" t="str">
        <f t="array" ref="C176">XLOOKUP(F176,'GSM T4.2026'!D:D,'GSM T4.2026'!F:F)</f>
        <v>Trần Thanh Hiền</v>
      </c>
      <c r="D176" s="147" t="s">
        <v>707</v>
      </c>
      <c r="E176" s="144" t="str">
        <f t="array" ref="E176">XLOOKUP(F176,'GSM T4.2026'!D:D,'GSM T4.2026'!$E:$E)</f>
        <v>HCM 019</v>
      </c>
      <c r="F176" s="145" t="s">
        <v>708</v>
      </c>
      <c r="G176" s="113" t="s">
        <v>444</v>
      </c>
      <c r="H176" s="147" t="s">
        <v>444</v>
      </c>
      <c r="I176" s="148"/>
      <c r="J176" s="149"/>
      <c r="K176" s="150"/>
      <c r="L176" s="190"/>
      <c r="M176" s="151"/>
      <c r="O176" s="152">
        <f t="shared" si="5"/>
        <v>0</v>
      </c>
      <c r="P176" s="176"/>
      <c r="Q176" s="151"/>
      <c r="R176" s="151"/>
      <c r="S176" s="151"/>
      <c r="T176" s="151"/>
      <c r="U176" s="151"/>
      <c r="V176" s="151"/>
      <c r="W176" s="151"/>
      <c r="X176" s="151"/>
      <c r="Y176" s="152"/>
      <c r="Z176" s="152"/>
    </row>
    <row r="177" hidden="1">
      <c r="A177" s="140">
        <f t="shared" si="1"/>
        <v>168</v>
      </c>
      <c r="B177" s="192" t="s">
        <v>634</v>
      </c>
      <c r="C177" s="142" t="str">
        <f t="array" ref="C177">XLOOKUP(F177,'GSM T4.2026'!D:D,'GSM T4.2026'!F:F)</f>
        <v>Nguyễn Đình Vũ</v>
      </c>
      <c r="D177" s="147" t="s">
        <v>709</v>
      </c>
      <c r="E177" s="144" t="str">
        <f t="array" ref="E177">XLOOKUP(F177,'GSM T4.2026'!D:D,'GSM T4.2026'!$E:$E)</f>
        <v>HCM 006</v>
      </c>
      <c r="F177" s="145" t="s">
        <v>710</v>
      </c>
      <c r="G177" s="113" t="s">
        <v>444</v>
      </c>
      <c r="H177" s="147" t="s">
        <v>444</v>
      </c>
      <c r="I177" s="148"/>
      <c r="J177" s="148"/>
      <c r="K177" s="148"/>
      <c r="L177" s="148"/>
      <c r="M177" s="148"/>
      <c r="O177" s="152">
        <f t="shared" si="5"/>
        <v>0</v>
      </c>
    </row>
    <row r="178" hidden="1">
      <c r="A178" s="140">
        <f t="shared" si="1"/>
        <v>169</v>
      </c>
      <c r="B178" s="193">
        <v>46116.0</v>
      </c>
      <c r="C178" s="142" t="str">
        <f t="array" ref="C178">XLOOKUP(F178,'GSM T4.2026'!D:D,'GSM T4.2026'!F:F)</f>
        <v>Võ Văn Phi Hùng</v>
      </c>
      <c r="D178" s="147" t="s">
        <v>711</v>
      </c>
      <c r="E178" s="144" t="str">
        <f t="array" ref="E178">XLOOKUP(F178,'GSM T4.2026'!D:D,'GSM T4.2026'!$E:$E)</f>
        <v>HCM 029</v>
      </c>
      <c r="F178" s="145" t="s">
        <v>712</v>
      </c>
      <c r="G178" s="113" t="s">
        <v>444</v>
      </c>
      <c r="H178" s="147" t="s">
        <v>444</v>
      </c>
      <c r="I178" s="148"/>
      <c r="J178" s="148"/>
      <c r="K178" s="148"/>
      <c r="L178" s="148"/>
      <c r="M178" s="148"/>
      <c r="O178" s="152">
        <f t="shared" si="5"/>
        <v>0</v>
      </c>
    </row>
    <row r="179" hidden="1">
      <c r="A179" s="140">
        <f t="shared" si="1"/>
        <v>170</v>
      </c>
      <c r="B179" s="192" t="s">
        <v>634</v>
      </c>
      <c r="C179" s="142" t="str">
        <f t="array" ref="C179">XLOOKUP(F179,'GSM T4.2026'!D:D,'GSM T4.2026'!F:F)</f>
        <v>Lê Nguyễn Ngọc Phượng</v>
      </c>
      <c r="D179" s="147" t="s">
        <v>713</v>
      </c>
      <c r="E179" s="144" t="str">
        <f t="array" ref="E179">XLOOKUP(F179,'GSM T4.2026'!D:D,'GSM T4.2026'!$E:$E)</f>
        <v>HCM 016</v>
      </c>
      <c r="F179" s="145" t="s">
        <v>714</v>
      </c>
      <c r="G179" s="113" t="s">
        <v>444</v>
      </c>
      <c r="H179" s="147" t="s">
        <v>444</v>
      </c>
      <c r="I179" s="148"/>
      <c r="J179" s="148"/>
      <c r="K179" s="148"/>
      <c r="L179" s="148"/>
      <c r="M179" s="148"/>
      <c r="O179" s="152">
        <f t="shared" si="5"/>
        <v>0</v>
      </c>
    </row>
    <row r="180" hidden="1">
      <c r="A180" s="140">
        <f t="shared" si="1"/>
        <v>171</v>
      </c>
      <c r="B180" s="192" t="s">
        <v>715</v>
      </c>
      <c r="C180" s="142" t="str">
        <f t="array" ref="C180">XLOOKUP(F180,'GSM T4.2026'!D:D,'GSM T4.2026'!F:F)</f>
        <v>Lê Ngọc Phát</v>
      </c>
      <c r="D180" s="147" t="s">
        <v>716</v>
      </c>
      <c r="E180" s="144" t="str">
        <f t="array" ref="E180">XLOOKUP(F180,'GSM T4.2026'!D:D,'GSM T4.2026'!$E:$E)</f>
        <v>HCM 027</v>
      </c>
      <c r="F180" s="145" t="s">
        <v>717</v>
      </c>
      <c r="G180" s="113" t="s">
        <v>444</v>
      </c>
      <c r="H180" s="147" t="s">
        <v>444</v>
      </c>
      <c r="I180" s="148"/>
      <c r="J180" s="148"/>
      <c r="K180" s="148"/>
      <c r="L180" s="148"/>
      <c r="M180" s="148"/>
      <c r="O180" s="152">
        <f t="shared" si="5"/>
        <v>0</v>
      </c>
    </row>
    <row r="181" hidden="1">
      <c r="A181" s="140">
        <f t="shared" si="1"/>
        <v>172</v>
      </c>
      <c r="B181" s="192" t="s">
        <v>634</v>
      </c>
      <c r="C181" s="142" t="str">
        <f t="array" ref="C181">XLOOKUP(F181,'GSM T4.2026'!D:D,'GSM T4.2026'!F:F)</f>
        <v>Nguyễn Thị Ngọc Bích</v>
      </c>
      <c r="D181" s="147" t="s">
        <v>718</v>
      </c>
      <c r="E181" s="144" t="str">
        <f t="array" ref="E181">XLOOKUP(F181,'GSM T4.2026'!D:D,'GSM T4.2026'!$E:$E)</f>
        <v>HCM 005</v>
      </c>
      <c r="F181" s="145" t="s">
        <v>719</v>
      </c>
      <c r="G181" s="113" t="s">
        <v>444</v>
      </c>
      <c r="H181" s="147" t="s">
        <v>444</v>
      </c>
      <c r="I181" s="148"/>
      <c r="J181" s="148"/>
      <c r="K181" s="148"/>
      <c r="L181" s="148"/>
      <c r="M181" s="148"/>
      <c r="O181" s="152">
        <f t="shared" si="5"/>
        <v>0</v>
      </c>
    </row>
    <row r="182" hidden="1">
      <c r="A182" s="140">
        <f t="shared" si="1"/>
        <v>173</v>
      </c>
      <c r="B182" s="193">
        <v>46116.0</v>
      </c>
      <c r="C182" s="142" t="str">
        <f t="array" ref="C182">XLOOKUP(F182,'GSM T4.2026'!D:D,'GSM T4.2026'!F:F)</f>
        <v>Lê Huỳnh Thiện</v>
      </c>
      <c r="D182" s="147" t="s">
        <v>720</v>
      </c>
      <c r="E182" s="144" t="str">
        <f t="array" ref="E182">XLOOKUP(F182,'GSM T4.2026'!D:D,'GSM T4.2026'!$E:$E)</f>
        <v>HCM 009</v>
      </c>
      <c r="F182" s="145" t="s">
        <v>721</v>
      </c>
      <c r="G182" s="113" t="s">
        <v>444</v>
      </c>
      <c r="H182" s="147" t="s">
        <v>444</v>
      </c>
      <c r="I182" s="148"/>
      <c r="J182" s="148"/>
      <c r="K182" s="148"/>
      <c r="L182" s="148"/>
      <c r="M182" s="148"/>
      <c r="O182" s="152">
        <f t="shared" si="5"/>
        <v>0</v>
      </c>
    </row>
    <row r="183" hidden="1">
      <c r="A183" s="140">
        <f t="shared" si="1"/>
        <v>174</v>
      </c>
      <c r="B183" s="193">
        <v>46330.0</v>
      </c>
      <c r="C183" s="142" t="str">
        <f t="array" ref="C183">XLOOKUP(F183,'GSM T4.2026'!D:D,'GSM T4.2026'!F:F)</f>
        <v>Lê Huỳnh Thiện</v>
      </c>
      <c r="D183" s="147" t="s">
        <v>722</v>
      </c>
      <c r="E183" s="144" t="str">
        <f t="array" ref="E183">XLOOKUP(F183,'GSM T4.2026'!D:D,'GSM T4.2026'!$E:$E)</f>
        <v>HCM 009</v>
      </c>
      <c r="F183" s="145" t="s">
        <v>723</v>
      </c>
      <c r="G183" s="113" t="s">
        <v>444</v>
      </c>
      <c r="H183" s="147" t="s">
        <v>444</v>
      </c>
      <c r="I183" s="148"/>
      <c r="J183" s="148"/>
      <c r="K183" s="148"/>
      <c r="L183" s="148"/>
      <c r="M183" s="148"/>
      <c r="O183" s="152">
        <f t="shared" si="5"/>
        <v>0</v>
      </c>
    </row>
    <row r="184" hidden="1">
      <c r="A184" s="140">
        <f t="shared" si="1"/>
        <v>175</v>
      </c>
      <c r="B184" s="192" t="s">
        <v>634</v>
      </c>
      <c r="C184" s="142" t="str">
        <f t="array" ref="C184">XLOOKUP(F184,'GSM T4.2026'!D:D,'GSM T4.2026'!F:F)</f>
        <v>Nguyễn Thị Ngọc Thảo</v>
      </c>
      <c r="D184" s="147" t="s">
        <v>724</v>
      </c>
      <c r="E184" s="144" t="str">
        <f t="array" ref="E184">XLOOKUP(F184,'GSM T4.2026'!D:D,'GSM T4.2026'!$E:$E)</f>
        <v>HCM 012</v>
      </c>
      <c r="F184" s="145" t="s">
        <v>725</v>
      </c>
      <c r="G184" s="113" t="s">
        <v>444</v>
      </c>
      <c r="H184" s="147" t="s">
        <v>444</v>
      </c>
      <c r="I184" s="148"/>
      <c r="J184" s="148"/>
      <c r="K184" s="148"/>
      <c r="L184" s="148"/>
      <c r="M184" s="148"/>
      <c r="O184" s="152">
        <f t="shared" si="5"/>
        <v>0</v>
      </c>
    </row>
    <row r="185" hidden="1">
      <c r="A185" s="140">
        <f t="shared" si="1"/>
        <v>176</v>
      </c>
      <c r="B185" s="193">
        <v>46299.0</v>
      </c>
      <c r="C185" s="142" t="str">
        <f t="array" ref="C185">XLOOKUP(F185,'GSM T4.2026'!D:D,'GSM T4.2026'!F:F)</f>
        <v>Đào Hồng Hiện</v>
      </c>
      <c r="D185" s="147" t="s">
        <v>726</v>
      </c>
      <c r="E185" s="144" t="str">
        <f t="array" ref="E185">XLOOKUP(F185,'GSM T4.2026'!D:D,'GSM T4.2026'!$E:$E)</f>
        <v>HCM 035</v>
      </c>
      <c r="F185" s="145" t="s">
        <v>727</v>
      </c>
      <c r="G185" s="113" t="s">
        <v>444</v>
      </c>
      <c r="H185" s="147" t="s">
        <v>444</v>
      </c>
      <c r="I185" s="148"/>
      <c r="J185" s="148"/>
      <c r="K185" s="148"/>
      <c r="L185" s="148"/>
      <c r="M185" s="148"/>
      <c r="O185" s="152">
        <f t="shared" si="5"/>
        <v>0</v>
      </c>
    </row>
    <row r="186" hidden="1">
      <c r="A186" s="10"/>
      <c r="B186" s="10"/>
      <c r="C186" s="10"/>
      <c r="D186" s="10"/>
      <c r="E186" s="10"/>
      <c r="F186" s="145"/>
      <c r="G186" s="120"/>
      <c r="H186" s="194"/>
      <c r="I186" s="194"/>
      <c r="J186" s="120"/>
      <c r="K186" s="120"/>
      <c r="L186" s="10"/>
      <c r="O186" s="152">
        <f t="shared" si="5"/>
        <v>0</v>
      </c>
    </row>
    <row r="187" hidden="1">
      <c r="A187" s="10"/>
      <c r="B187" s="10"/>
      <c r="C187" s="10"/>
      <c r="D187" s="10"/>
      <c r="E187" s="10"/>
      <c r="F187" s="145"/>
      <c r="G187" s="120"/>
      <c r="H187" s="194"/>
      <c r="I187" s="194"/>
      <c r="J187" s="120"/>
      <c r="K187" s="120"/>
      <c r="L187" s="10"/>
      <c r="O187" s="152">
        <f t="shared" si="5"/>
        <v>0</v>
      </c>
    </row>
    <row r="188">
      <c r="A188" s="10"/>
      <c r="B188" s="10"/>
      <c r="C188" s="10"/>
      <c r="D188" s="10"/>
      <c r="E188" s="10"/>
      <c r="F188" s="145"/>
      <c r="G188" s="120"/>
      <c r="H188" s="194"/>
      <c r="I188" s="194"/>
      <c r="J188" s="120"/>
      <c r="K188" s="120"/>
      <c r="L188" s="10"/>
      <c r="Z188" s="122"/>
    </row>
    <row r="189">
      <c r="A189" s="10"/>
      <c r="B189" s="10"/>
      <c r="C189" s="10"/>
      <c r="D189" s="10"/>
      <c r="E189" s="10"/>
      <c r="F189" s="145"/>
      <c r="G189" s="120"/>
      <c r="H189" s="194"/>
      <c r="I189" s="194"/>
      <c r="J189" s="120"/>
      <c r="K189" s="120"/>
      <c r="L189" s="10"/>
      <c r="Z189" s="122"/>
    </row>
    <row r="190">
      <c r="A190" s="10"/>
      <c r="B190" s="10"/>
      <c r="C190" s="10"/>
      <c r="D190" s="10"/>
      <c r="E190" s="10"/>
      <c r="F190" s="145"/>
      <c r="G190" s="120"/>
      <c r="H190" s="194"/>
      <c r="I190" s="194"/>
      <c r="J190" s="120"/>
      <c r="K190" s="120"/>
      <c r="L190" s="10"/>
      <c r="Z190" s="122"/>
    </row>
    <row r="191">
      <c r="A191" s="10"/>
      <c r="B191" s="10"/>
      <c r="C191" s="10"/>
      <c r="D191" s="10"/>
      <c r="E191" s="10"/>
      <c r="F191" s="145"/>
      <c r="G191" s="120"/>
      <c r="H191" s="194"/>
      <c r="I191" s="194"/>
      <c r="J191" s="120"/>
      <c r="K191" s="120"/>
      <c r="L191" s="10"/>
      <c r="Z191" s="122"/>
    </row>
    <row r="192">
      <c r="A192" s="10"/>
      <c r="B192" s="10"/>
      <c r="C192" s="10"/>
      <c r="D192" s="10"/>
      <c r="E192" s="10"/>
      <c r="F192" s="145"/>
      <c r="G192" s="120"/>
      <c r="H192" s="194"/>
      <c r="I192" s="194"/>
      <c r="J192" s="120"/>
      <c r="K192" s="120"/>
      <c r="L192" s="10"/>
      <c r="Z192" s="122"/>
    </row>
    <row r="193">
      <c r="A193" s="10"/>
      <c r="B193" s="10"/>
      <c r="C193" s="10"/>
      <c r="D193" s="10"/>
      <c r="E193" s="10"/>
      <c r="F193" s="145"/>
      <c r="G193" s="120"/>
      <c r="H193" s="194"/>
      <c r="I193" s="194"/>
      <c r="J193" s="120"/>
      <c r="K193" s="120"/>
      <c r="L193" s="10"/>
      <c r="Z193" s="122"/>
    </row>
    <row r="194">
      <c r="A194" s="10"/>
      <c r="B194" s="10"/>
      <c r="C194" s="10"/>
      <c r="D194" s="10"/>
      <c r="E194" s="10"/>
      <c r="F194" s="145"/>
      <c r="G194" s="120"/>
      <c r="H194" s="194"/>
      <c r="I194" s="194"/>
      <c r="J194" s="120"/>
      <c r="K194" s="120"/>
      <c r="L194" s="10"/>
      <c r="Z194" s="122"/>
    </row>
    <row r="195">
      <c r="A195" s="10"/>
      <c r="B195" s="10"/>
      <c r="C195" s="10"/>
      <c r="D195" s="10"/>
      <c r="E195" s="10"/>
      <c r="F195" s="145"/>
      <c r="G195" s="120"/>
      <c r="H195" s="194"/>
      <c r="I195" s="194"/>
      <c r="J195" s="120"/>
      <c r="K195" s="120"/>
      <c r="L195" s="10"/>
      <c r="Z195" s="122"/>
    </row>
    <row r="196">
      <c r="A196" s="10"/>
      <c r="B196" s="10"/>
      <c r="C196" s="10"/>
      <c r="D196" s="10"/>
      <c r="E196" s="10"/>
      <c r="F196" s="145"/>
      <c r="G196" s="120"/>
      <c r="H196" s="194"/>
      <c r="I196" s="194"/>
      <c r="J196" s="120"/>
      <c r="K196" s="120"/>
      <c r="L196" s="10"/>
      <c r="Z196" s="122"/>
    </row>
    <row r="197">
      <c r="A197" s="10"/>
      <c r="B197" s="10"/>
      <c r="C197" s="10"/>
      <c r="D197" s="10"/>
      <c r="E197" s="10"/>
      <c r="F197" s="145"/>
      <c r="G197" s="120"/>
      <c r="H197" s="194"/>
      <c r="I197" s="194"/>
      <c r="J197" s="120"/>
      <c r="K197" s="120"/>
      <c r="L197" s="10"/>
      <c r="Z197" s="122"/>
    </row>
    <row r="198">
      <c r="A198" s="10"/>
      <c r="B198" s="10"/>
      <c r="C198" s="10"/>
      <c r="D198" s="10"/>
      <c r="E198" s="10"/>
      <c r="F198" s="145"/>
      <c r="G198" s="120"/>
      <c r="H198" s="194"/>
      <c r="I198" s="194"/>
      <c r="J198" s="120"/>
      <c r="K198" s="120"/>
      <c r="L198" s="10"/>
      <c r="Z198" s="122"/>
    </row>
    <row r="199">
      <c r="A199" s="10"/>
      <c r="B199" s="10"/>
      <c r="C199" s="10"/>
      <c r="D199" s="10"/>
      <c r="E199" s="10"/>
      <c r="F199" s="145"/>
      <c r="G199" s="120"/>
      <c r="H199" s="194"/>
      <c r="I199" s="194"/>
      <c r="J199" s="120"/>
      <c r="K199" s="120"/>
      <c r="L199" s="10"/>
      <c r="Z199" s="122"/>
    </row>
    <row r="200">
      <c r="A200" s="10"/>
      <c r="B200" s="10"/>
      <c r="C200" s="10"/>
      <c r="D200" s="10"/>
      <c r="E200" s="10"/>
      <c r="F200" s="145"/>
      <c r="G200" s="120"/>
      <c r="H200" s="194"/>
      <c r="I200" s="194"/>
      <c r="J200" s="120"/>
      <c r="K200" s="120"/>
      <c r="L200" s="10"/>
      <c r="Z200" s="122"/>
    </row>
    <row r="201">
      <c r="A201" s="10"/>
      <c r="B201" s="10"/>
      <c r="C201" s="10"/>
      <c r="D201" s="10"/>
      <c r="E201" s="10"/>
      <c r="F201" s="10"/>
      <c r="G201" s="120"/>
      <c r="H201" s="194"/>
      <c r="I201" s="194"/>
      <c r="J201" s="120"/>
      <c r="K201" s="120"/>
      <c r="L201" s="10"/>
      <c r="Z201" s="122"/>
    </row>
    <row r="202">
      <c r="A202" s="10"/>
      <c r="B202" s="10"/>
      <c r="C202" s="10"/>
      <c r="D202" s="10"/>
      <c r="E202" s="10"/>
      <c r="F202" s="10"/>
      <c r="G202" s="120"/>
      <c r="H202" s="194"/>
      <c r="I202" s="194"/>
      <c r="J202" s="120"/>
      <c r="K202" s="120"/>
      <c r="L202" s="10"/>
      <c r="Z202" s="122"/>
    </row>
    <row r="203">
      <c r="A203" s="10"/>
      <c r="B203" s="10"/>
      <c r="C203" s="10"/>
      <c r="D203" s="10"/>
      <c r="E203" s="10"/>
      <c r="F203" s="10"/>
      <c r="G203" s="120"/>
      <c r="H203" s="194"/>
      <c r="I203" s="194"/>
      <c r="J203" s="120"/>
      <c r="K203" s="120"/>
      <c r="L203" s="10"/>
      <c r="Z203" s="122"/>
    </row>
    <row r="204">
      <c r="A204" s="10"/>
      <c r="B204" s="10"/>
      <c r="C204" s="10"/>
      <c r="D204" s="10"/>
      <c r="E204" s="10"/>
      <c r="F204" s="10"/>
      <c r="G204" s="120"/>
      <c r="H204" s="194"/>
      <c r="I204" s="194"/>
      <c r="J204" s="120"/>
      <c r="K204" s="120"/>
      <c r="L204" s="10"/>
      <c r="Z204" s="122"/>
    </row>
    <row r="205">
      <c r="A205" s="10"/>
      <c r="B205" s="10"/>
      <c r="C205" s="10"/>
      <c r="D205" s="10"/>
      <c r="E205" s="10"/>
      <c r="F205" s="10"/>
      <c r="G205" s="120"/>
      <c r="H205" s="194"/>
      <c r="I205" s="194"/>
      <c r="J205" s="120"/>
      <c r="K205" s="120"/>
      <c r="L205" s="10"/>
      <c r="Z205" s="122"/>
    </row>
    <row r="206">
      <c r="A206" s="10"/>
      <c r="B206" s="10"/>
      <c r="C206" s="10"/>
      <c r="D206" s="10"/>
      <c r="E206" s="10"/>
      <c r="F206" s="10"/>
      <c r="G206" s="120"/>
      <c r="H206" s="194"/>
      <c r="I206" s="194"/>
      <c r="J206" s="120"/>
      <c r="K206" s="120"/>
      <c r="L206" s="10"/>
      <c r="Z206" s="122"/>
    </row>
    <row r="207">
      <c r="A207" s="10"/>
      <c r="B207" s="10"/>
      <c r="C207" s="10"/>
      <c r="D207" s="10"/>
      <c r="E207" s="10"/>
      <c r="F207" s="10"/>
      <c r="G207" s="120"/>
      <c r="H207" s="194"/>
      <c r="I207" s="194"/>
      <c r="J207" s="120"/>
      <c r="K207" s="120"/>
      <c r="L207" s="10"/>
      <c r="Z207" s="122"/>
    </row>
    <row r="208">
      <c r="A208" s="10"/>
      <c r="B208" s="10"/>
      <c r="C208" s="10"/>
      <c r="D208" s="10"/>
      <c r="E208" s="10"/>
      <c r="F208" s="10"/>
      <c r="G208" s="120"/>
      <c r="H208" s="194"/>
      <c r="I208" s="194"/>
      <c r="J208" s="120"/>
      <c r="K208" s="120"/>
      <c r="L208" s="10"/>
      <c r="Z208" s="122"/>
    </row>
    <row r="209">
      <c r="A209" s="10"/>
      <c r="B209" s="10"/>
      <c r="C209" s="10"/>
      <c r="D209" s="10"/>
      <c r="E209" s="10"/>
      <c r="F209" s="10"/>
      <c r="G209" s="120"/>
      <c r="H209" s="194"/>
      <c r="I209" s="194"/>
      <c r="J209" s="120"/>
      <c r="K209" s="120"/>
      <c r="L209" s="10"/>
      <c r="Z209" s="122"/>
    </row>
    <row r="210">
      <c r="A210" s="10"/>
      <c r="B210" s="10"/>
      <c r="C210" s="10"/>
      <c r="D210" s="10"/>
      <c r="E210" s="10"/>
      <c r="F210" s="10"/>
      <c r="G210" s="120"/>
      <c r="H210" s="194"/>
      <c r="I210" s="194"/>
      <c r="J210" s="120"/>
      <c r="K210" s="120"/>
      <c r="L210" s="10"/>
      <c r="Z210" s="122"/>
    </row>
    <row r="211">
      <c r="A211" s="10"/>
      <c r="B211" s="10"/>
      <c r="C211" s="10"/>
      <c r="D211" s="10"/>
      <c r="E211" s="10"/>
      <c r="F211" s="10"/>
      <c r="G211" s="120"/>
      <c r="H211" s="194"/>
      <c r="I211" s="194"/>
      <c r="J211" s="120"/>
      <c r="K211" s="120"/>
      <c r="L211" s="10"/>
      <c r="Z211" s="122"/>
    </row>
    <row r="212">
      <c r="A212" s="10"/>
      <c r="B212" s="10"/>
      <c r="C212" s="10"/>
      <c r="D212" s="10"/>
      <c r="E212" s="10"/>
      <c r="F212" s="10"/>
      <c r="G212" s="120"/>
      <c r="H212" s="194"/>
      <c r="I212" s="194"/>
      <c r="J212" s="120"/>
      <c r="K212" s="120"/>
      <c r="L212" s="10"/>
      <c r="Z212" s="122"/>
    </row>
    <row r="213">
      <c r="A213" s="10"/>
      <c r="B213" s="10"/>
      <c r="C213" s="10"/>
      <c r="D213" s="10"/>
      <c r="E213" s="10"/>
      <c r="F213" s="10"/>
      <c r="G213" s="120"/>
      <c r="H213" s="194"/>
      <c r="I213" s="194"/>
      <c r="J213" s="120"/>
      <c r="K213" s="120"/>
      <c r="L213" s="10"/>
      <c r="Z213" s="122"/>
    </row>
    <row r="214">
      <c r="A214" s="10"/>
      <c r="B214" s="10"/>
      <c r="C214" s="10"/>
      <c r="D214" s="10"/>
      <c r="E214" s="10"/>
      <c r="F214" s="10"/>
      <c r="G214" s="120"/>
      <c r="H214" s="194"/>
      <c r="I214" s="194"/>
      <c r="J214" s="120"/>
      <c r="K214" s="120"/>
      <c r="L214" s="10"/>
      <c r="Z214" s="122"/>
    </row>
    <row r="215">
      <c r="A215" s="10"/>
      <c r="B215" s="10"/>
      <c r="C215" s="10"/>
      <c r="D215" s="10"/>
      <c r="E215" s="10"/>
      <c r="F215" s="10"/>
      <c r="G215" s="120"/>
      <c r="H215" s="194"/>
      <c r="I215" s="194"/>
      <c r="J215" s="120"/>
      <c r="K215" s="120"/>
      <c r="L215" s="10"/>
      <c r="Z215" s="122"/>
    </row>
    <row r="216">
      <c r="A216" s="10"/>
      <c r="B216" s="10"/>
      <c r="C216" s="10"/>
      <c r="D216" s="10"/>
      <c r="E216" s="10"/>
      <c r="F216" s="10"/>
      <c r="G216" s="120"/>
      <c r="H216" s="194"/>
      <c r="I216" s="194"/>
      <c r="J216" s="120"/>
      <c r="K216" s="120"/>
      <c r="L216" s="10"/>
      <c r="Z216" s="122"/>
    </row>
    <row r="217">
      <c r="A217" s="10"/>
      <c r="B217" s="10"/>
      <c r="C217" s="10"/>
      <c r="D217" s="10"/>
      <c r="E217" s="10"/>
      <c r="F217" s="10"/>
      <c r="G217" s="120"/>
      <c r="H217" s="194"/>
      <c r="I217" s="194"/>
      <c r="J217" s="120"/>
      <c r="K217" s="120"/>
      <c r="L217" s="10"/>
      <c r="Z217" s="122"/>
    </row>
    <row r="218">
      <c r="A218" s="10"/>
      <c r="B218" s="10"/>
      <c r="C218" s="10"/>
      <c r="D218" s="10"/>
      <c r="E218" s="10"/>
      <c r="F218" s="10"/>
      <c r="G218" s="120"/>
      <c r="H218" s="194"/>
      <c r="I218" s="194"/>
      <c r="J218" s="120"/>
      <c r="K218" s="120"/>
      <c r="L218" s="10"/>
      <c r="Z218" s="122"/>
    </row>
    <row r="219">
      <c r="A219" s="10"/>
      <c r="B219" s="10"/>
      <c r="C219" s="10"/>
      <c r="D219" s="10"/>
      <c r="E219" s="10"/>
      <c r="F219" s="10"/>
      <c r="G219" s="120"/>
      <c r="H219" s="194"/>
      <c r="I219" s="194"/>
      <c r="J219" s="120"/>
      <c r="K219" s="120"/>
      <c r="L219" s="10"/>
      <c r="Z219" s="122"/>
    </row>
    <row r="220">
      <c r="A220" s="10"/>
      <c r="B220" s="10"/>
      <c r="C220" s="10"/>
      <c r="D220" s="10"/>
      <c r="E220" s="10"/>
      <c r="F220" s="10"/>
      <c r="G220" s="120"/>
      <c r="H220" s="194"/>
      <c r="I220" s="194"/>
      <c r="J220" s="120"/>
      <c r="K220" s="120"/>
      <c r="L220" s="10"/>
      <c r="Z220" s="122"/>
    </row>
    <row r="221">
      <c r="A221" s="10"/>
      <c r="B221" s="10"/>
      <c r="C221" s="10"/>
      <c r="D221" s="10"/>
      <c r="E221" s="10"/>
      <c r="F221" s="10"/>
      <c r="G221" s="120"/>
      <c r="H221" s="194"/>
      <c r="I221" s="194"/>
      <c r="J221" s="120"/>
      <c r="K221" s="120"/>
      <c r="L221" s="10"/>
      <c r="Z221" s="122"/>
    </row>
    <row r="222">
      <c r="A222" s="10"/>
      <c r="B222" s="10"/>
      <c r="C222" s="10"/>
      <c r="D222" s="10"/>
      <c r="E222" s="10"/>
      <c r="F222" s="10"/>
      <c r="G222" s="120"/>
      <c r="H222" s="194"/>
      <c r="I222" s="194"/>
      <c r="J222" s="120"/>
      <c r="K222" s="120"/>
      <c r="L222" s="10"/>
      <c r="Z222" s="122"/>
    </row>
    <row r="223">
      <c r="A223" s="10"/>
      <c r="B223" s="10"/>
      <c r="C223" s="10"/>
      <c r="D223" s="10"/>
      <c r="E223" s="10"/>
      <c r="F223" s="10"/>
      <c r="G223" s="120"/>
      <c r="H223" s="194"/>
      <c r="I223" s="194"/>
      <c r="J223" s="120"/>
      <c r="K223" s="120"/>
      <c r="L223" s="10"/>
      <c r="Z223" s="122"/>
    </row>
    <row r="224">
      <c r="A224" s="10"/>
      <c r="B224" s="10"/>
      <c r="C224" s="10"/>
      <c r="D224" s="10"/>
      <c r="E224" s="10"/>
      <c r="F224" s="10"/>
      <c r="G224" s="120"/>
      <c r="H224" s="194"/>
      <c r="I224" s="194"/>
      <c r="J224" s="120"/>
      <c r="K224" s="120"/>
      <c r="L224" s="10"/>
      <c r="Z224" s="122"/>
    </row>
    <row r="225">
      <c r="A225" s="10"/>
      <c r="B225" s="10"/>
      <c r="C225" s="10"/>
      <c r="D225" s="10"/>
      <c r="E225" s="10"/>
      <c r="F225" s="10"/>
      <c r="G225" s="120"/>
      <c r="H225" s="194"/>
      <c r="I225" s="194"/>
      <c r="J225" s="120"/>
      <c r="K225" s="120"/>
      <c r="L225" s="10"/>
      <c r="Z225" s="122"/>
    </row>
    <row r="226">
      <c r="A226" s="10"/>
      <c r="B226" s="10"/>
      <c r="C226" s="10"/>
      <c r="D226" s="10"/>
      <c r="E226" s="10"/>
      <c r="F226" s="10"/>
      <c r="G226" s="120"/>
      <c r="H226" s="194"/>
      <c r="I226" s="194"/>
      <c r="J226" s="120"/>
      <c r="K226" s="120"/>
      <c r="L226" s="10"/>
      <c r="Z226" s="122"/>
    </row>
    <row r="227">
      <c r="A227" s="10"/>
      <c r="B227" s="10"/>
      <c r="C227" s="10"/>
      <c r="D227" s="10"/>
      <c r="E227" s="10"/>
      <c r="F227" s="10"/>
      <c r="G227" s="120"/>
      <c r="H227" s="194"/>
      <c r="I227" s="194"/>
      <c r="J227" s="120"/>
      <c r="K227" s="120"/>
      <c r="L227" s="10"/>
      <c r="Z227" s="122"/>
    </row>
    <row r="228">
      <c r="A228" s="10"/>
      <c r="B228" s="10"/>
      <c r="C228" s="10"/>
      <c r="D228" s="10"/>
      <c r="E228" s="10"/>
      <c r="F228" s="10"/>
      <c r="G228" s="120"/>
      <c r="H228" s="194"/>
      <c r="I228" s="194"/>
      <c r="J228" s="120"/>
      <c r="K228" s="120"/>
      <c r="L228" s="10"/>
      <c r="Z228" s="122"/>
    </row>
    <row r="229">
      <c r="A229" s="10"/>
      <c r="B229" s="10"/>
      <c r="C229" s="10"/>
      <c r="D229" s="10"/>
      <c r="E229" s="10"/>
      <c r="F229" s="10"/>
      <c r="G229" s="120"/>
      <c r="H229" s="194"/>
      <c r="I229" s="194"/>
      <c r="J229" s="120"/>
      <c r="K229" s="120"/>
      <c r="L229" s="10"/>
      <c r="Z229" s="122"/>
    </row>
    <row r="230">
      <c r="A230" s="10"/>
      <c r="B230" s="10"/>
      <c r="C230" s="10"/>
      <c r="D230" s="10"/>
      <c r="E230" s="10"/>
      <c r="F230" s="10"/>
      <c r="G230" s="120"/>
      <c r="H230" s="194"/>
      <c r="I230" s="194"/>
      <c r="J230" s="120"/>
      <c r="K230" s="120"/>
      <c r="L230" s="10"/>
      <c r="Z230" s="122"/>
    </row>
    <row r="231">
      <c r="A231" s="10"/>
      <c r="B231" s="10"/>
      <c r="C231" s="10"/>
      <c r="D231" s="10"/>
      <c r="E231" s="10"/>
      <c r="F231" s="10"/>
      <c r="G231" s="120"/>
      <c r="H231" s="194"/>
      <c r="I231" s="194"/>
      <c r="J231" s="120"/>
      <c r="K231" s="120"/>
      <c r="L231" s="10"/>
      <c r="Z231" s="122"/>
    </row>
    <row r="232">
      <c r="A232" s="10"/>
      <c r="B232" s="10"/>
      <c r="C232" s="10"/>
      <c r="D232" s="10"/>
      <c r="E232" s="10"/>
      <c r="F232" s="10"/>
      <c r="G232" s="120"/>
      <c r="H232" s="194"/>
      <c r="I232" s="194"/>
      <c r="J232" s="120"/>
      <c r="K232" s="120"/>
      <c r="L232" s="10"/>
      <c r="Z232" s="122"/>
    </row>
    <row r="233">
      <c r="A233" s="10"/>
      <c r="B233" s="10"/>
      <c r="C233" s="10"/>
      <c r="D233" s="10"/>
      <c r="E233" s="10"/>
      <c r="F233" s="10"/>
      <c r="G233" s="120"/>
      <c r="H233" s="194"/>
      <c r="I233" s="194"/>
      <c r="J233" s="120"/>
      <c r="K233" s="120"/>
      <c r="L233" s="10"/>
      <c r="Z233" s="122"/>
    </row>
    <row r="234">
      <c r="A234" s="10"/>
      <c r="B234" s="10"/>
      <c r="C234" s="10"/>
      <c r="D234" s="10"/>
      <c r="E234" s="10"/>
      <c r="F234" s="10"/>
      <c r="G234" s="120"/>
      <c r="H234" s="194"/>
      <c r="I234" s="194"/>
      <c r="J234" s="120"/>
      <c r="K234" s="120"/>
      <c r="L234" s="10"/>
      <c r="Z234" s="122"/>
    </row>
    <row r="235">
      <c r="A235" s="10"/>
      <c r="B235" s="10"/>
      <c r="C235" s="10"/>
      <c r="D235" s="10"/>
      <c r="E235" s="10"/>
      <c r="F235" s="10"/>
      <c r="G235" s="120"/>
      <c r="H235" s="194"/>
      <c r="I235" s="194"/>
      <c r="J235" s="120"/>
      <c r="K235" s="120"/>
      <c r="L235" s="10"/>
      <c r="Z235" s="122"/>
    </row>
    <row r="236">
      <c r="A236" s="10"/>
      <c r="B236" s="10"/>
      <c r="C236" s="10"/>
      <c r="D236" s="10"/>
      <c r="E236" s="10"/>
      <c r="F236" s="10"/>
      <c r="G236" s="120"/>
      <c r="H236" s="194"/>
      <c r="I236" s="194"/>
      <c r="J236" s="120"/>
      <c r="K236" s="120"/>
      <c r="L236" s="10"/>
      <c r="Z236" s="122"/>
    </row>
    <row r="237">
      <c r="A237" s="10"/>
      <c r="B237" s="10"/>
      <c r="C237" s="10"/>
      <c r="D237" s="10"/>
      <c r="E237" s="10"/>
      <c r="F237" s="10"/>
      <c r="G237" s="120"/>
      <c r="H237" s="194"/>
      <c r="I237" s="194"/>
      <c r="J237" s="120"/>
      <c r="K237" s="120"/>
      <c r="L237" s="10"/>
      <c r="Z237" s="122"/>
    </row>
    <row r="238">
      <c r="A238" s="10"/>
      <c r="B238" s="10"/>
      <c r="C238" s="10"/>
      <c r="D238" s="10"/>
      <c r="E238" s="10"/>
      <c r="F238" s="10"/>
      <c r="G238" s="120"/>
      <c r="H238" s="194"/>
      <c r="I238" s="194"/>
      <c r="J238" s="120"/>
      <c r="K238" s="120"/>
      <c r="L238" s="10"/>
      <c r="Z238" s="122"/>
    </row>
    <row r="239">
      <c r="A239" s="10"/>
      <c r="B239" s="10"/>
      <c r="C239" s="10"/>
      <c r="D239" s="10"/>
      <c r="E239" s="10"/>
      <c r="F239" s="10"/>
      <c r="G239" s="120"/>
      <c r="H239" s="194"/>
      <c r="I239" s="194"/>
      <c r="J239" s="120"/>
      <c r="K239" s="120"/>
      <c r="L239" s="10"/>
      <c r="Z239" s="122"/>
    </row>
    <row r="240">
      <c r="A240" s="10"/>
      <c r="B240" s="10"/>
      <c r="C240" s="10"/>
      <c r="D240" s="10"/>
      <c r="E240" s="10"/>
      <c r="F240" s="10"/>
      <c r="G240" s="120"/>
      <c r="H240" s="194"/>
      <c r="I240" s="194"/>
      <c r="J240" s="120"/>
      <c r="K240" s="120"/>
      <c r="L240" s="10"/>
      <c r="Z240" s="122"/>
    </row>
    <row r="241">
      <c r="A241" s="10"/>
      <c r="B241" s="10"/>
      <c r="C241" s="10"/>
      <c r="D241" s="10"/>
      <c r="E241" s="10"/>
      <c r="F241" s="10"/>
      <c r="G241" s="120"/>
      <c r="H241" s="194"/>
      <c r="I241" s="194"/>
      <c r="J241" s="120"/>
      <c r="K241" s="120"/>
      <c r="L241" s="10"/>
      <c r="Z241" s="122"/>
    </row>
    <row r="242">
      <c r="A242" s="10"/>
      <c r="B242" s="10"/>
      <c r="C242" s="10"/>
      <c r="D242" s="10"/>
      <c r="E242" s="10"/>
      <c r="F242" s="10"/>
      <c r="G242" s="120"/>
      <c r="H242" s="194"/>
      <c r="I242" s="194"/>
      <c r="J242" s="120"/>
      <c r="K242" s="120"/>
      <c r="L242" s="10"/>
      <c r="Z242" s="122"/>
    </row>
    <row r="243">
      <c r="A243" s="10"/>
      <c r="B243" s="10"/>
      <c r="C243" s="10"/>
      <c r="D243" s="10"/>
      <c r="E243" s="10"/>
      <c r="F243" s="10"/>
      <c r="G243" s="120"/>
      <c r="H243" s="194"/>
      <c r="I243" s="194"/>
      <c r="J243" s="120"/>
      <c r="K243" s="120"/>
      <c r="L243" s="10"/>
      <c r="Z243" s="122"/>
    </row>
    <row r="244">
      <c r="A244" s="10"/>
      <c r="B244" s="10"/>
      <c r="C244" s="10"/>
      <c r="D244" s="10"/>
      <c r="E244" s="10"/>
      <c r="F244" s="10"/>
      <c r="G244" s="120"/>
      <c r="H244" s="194"/>
      <c r="I244" s="194"/>
      <c r="J244" s="120"/>
      <c r="K244" s="120"/>
      <c r="L244" s="10"/>
      <c r="Z244" s="122"/>
    </row>
    <row r="245">
      <c r="A245" s="10"/>
      <c r="B245" s="10"/>
      <c r="C245" s="10"/>
      <c r="D245" s="10"/>
      <c r="E245" s="10"/>
      <c r="F245" s="10"/>
      <c r="G245" s="120"/>
      <c r="H245" s="194"/>
      <c r="I245" s="194"/>
      <c r="J245" s="120"/>
      <c r="K245" s="120"/>
      <c r="L245" s="10"/>
      <c r="Z245" s="122"/>
    </row>
    <row r="246">
      <c r="A246" s="10"/>
      <c r="B246" s="10"/>
      <c r="C246" s="10"/>
      <c r="D246" s="10"/>
      <c r="E246" s="10"/>
      <c r="F246" s="10"/>
      <c r="G246" s="120"/>
      <c r="H246" s="194"/>
      <c r="I246" s="194"/>
      <c r="J246" s="120"/>
      <c r="K246" s="120"/>
      <c r="L246" s="10"/>
      <c r="Z246" s="122"/>
    </row>
    <row r="247">
      <c r="A247" s="10"/>
      <c r="B247" s="10"/>
      <c r="C247" s="10"/>
      <c r="D247" s="10"/>
      <c r="E247" s="10"/>
      <c r="F247" s="10"/>
      <c r="G247" s="120"/>
      <c r="H247" s="194"/>
      <c r="I247" s="194"/>
      <c r="J247" s="120"/>
      <c r="K247" s="120"/>
      <c r="L247" s="10"/>
      <c r="Z247" s="122"/>
    </row>
    <row r="248">
      <c r="A248" s="10"/>
      <c r="B248" s="10"/>
      <c r="C248" s="10"/>
      <c r="D248" s="10"/>
      <c r="E248" s="10"/>
      <c r="F248" s="10"/>
      <c r="G248" s="120"/>
      <c r="H248" s="194"/>
      <c r="I248" s="194"/>
      <c r="J248" s="120"/>
      <c r="K248" s="120"/>
      <c r="L248" s="10"/>
      <c r="Z248" s="122"/>
    </row>
    <row r="249">
      <c r="A249" s="10"/>
      <c r="B249" s="10"/>
      <c r="C249" s="10"/>
      <c r="D249" s="10"/>
      <c r="E249" s="10"/>
      <c r="F249" s="10"/>
      <c r="G249" s="120"/>
      <c r="H249" s="194"/>
      <c r="I249" s="194"/>
      <c r="J249" s="120"/>
      <c r="K249" s="120"/>
      <c r="L249" s="10"/>
      <c r="Z249" s="122"/>
    </row>
    <row r="250">
      <c r="A250" s="10"/>
      <c r="B250" s="10"/>
      <c r="C250" s="10"/>
      <c r="D250" s="10"/>
      <c r="E250" s="10"/>
      <c r="F250" s="10"/>
      <c r="G250" s="120"/>
      <c r="H250" s="194"/>
      <c r="I250" s="194"/>
      <c r="J250" s="120"/>
      <c r="K250" s="120"/>
      <c r="L250" s="10"/>
      <c r="Z250" s="122"/>
    </row>
    <row r="251">
      <c r="A251" s="10"/>
      <c r="B251" s="10"/>
      <c r="C251" s="10"/>
      <c r="D251" s="10"/>
      <c r="E251" s="10"/>
      <c r="F251" s="10"/>
      <c r="G251" s="120"/>
      <c r="H251" s="194"/>
      <c r="I251" s="194"/>
      <c r="J251" s="120"/>
      <c r="K251" s="120"/>
      <c r="L251" s="10"/>
      <c r="Z251" s="122"/>
    </row>
    <row r="252">
      <c r="A252" s="10"/>
      <c r="B252" s="10"/>
      <c r="C252" s="10"/>
      <c r="D252" s="10"/>
      <c r="E252" s="10"/>
      <c r="F252" s="10"/>
      <c r="G252" s="120"/>
      <c r="H252" s="194"/>
      <c r="I252" s="194"/>
      <c r="J252" s="120"/>
      <c r="K252" s="120"/>
      <c r="L252" s="10"/>
      <c r="Z252" s="122"/>
    </row>
    <row r="253">
      <c r="A253" s="10"/>
      <c r="B253" s="10"/>
      <c r="C253" s="10"/>
      <c r="D253" s="10"/>
      <c r="E253" s="10"/>
      <c r="F253" s="10"/>
      <c r="G253" s="120"/>
      <c r="H253" s="194"/>
      <c r="I253" s="194"/>
      <c r="J253" s="120"/>
      <c r="K253" s="120"/>
      <c r="L253" s="10"/>
      <c r="Z253" s="122"/>
    </row>
    <row r="254">
      <c r="A254" s="10"/>
      <c r="B254" s="10"/>
      <c r="C254" s="10"/>
      <c r="D254" s="10"/>
      <c r="E254" s="10"/>
      <c r="F254" s="10"/>
      <c r="G254" s="120"/>
      <c r="H254" s="194"/>
      <c r="I254" s="194"/>
      <c r="J254" s="120"/>
      <c r="K254" s="120"/>
      <c r="L254" s="10"/>
      <c r="Z254" s="122"/>
    </row>
    <row r="255">
      <c r="A255" s="10"/>
      <c r="B255" s="10"/>
      <c r="C255" s="10"/>
      <c r="D255" s="10"/>
      <c r="E255" s="10"/>
      <c r="F255" s="10"/>
      <c r="G255" s="120"/>
      <c r="H255" s="194"/>
      <c r="I255" s="194"/>
      <c r="J255" s="120"/>
      <c r="K255" s="120"/>
      <c r="L255" s="10"/>
      <c r="Z255" s="122"/>
    </row>
    <row r="256">
      <c r="A256" s="10"/>
      <c r="B256" s="10"/>
      <c r="C256" s="10"/>
      <c r="D256" s="10"/>
      <c r="E256" s="10"/>
      <c r="F256" s="10"/>
      <c r="G256" s="120"/>
      <c r="H256" s="194"/>
      <c r="I256" s="194"/>
      <c r="J256" s="120"/>
      <c r="K256" s="120"/>
      <c r="L256" s="10"/>
      <c r="Z256" s="122"/>
    </row>
    <row r="257">
      <c r="A257" s="10"/>
      <c r="B257" s="10"/>
      <c r="C257" s="10"/>
      <c r="D257" s="10"/>
      <c r="E257" s="10"/>
      <c r="F257" s="10"/>
      <c r="G257" s="120"/>
      <c r="H257" s="194"/>
      <c r="I257" s="194"/>
      <c r="J257" s="120"/>
      <c r="K257" s="120"/>
      <c r="L257" s="10"/>
      <c r="Z257" s="122"/>
    </row>
    <row r="258">
      <c r="A258" s="10"/>
      <c r="B258" s="10"/>
      <c r="C258" s="10"/>
      <c r="D258" s="10"/>
      <c r="E258" s="10"/>
      <c r="F258" s="10"/>
      <c r="G258" s="120"/>
      <c r="H258" s="194"/>
      <c r="I258" s="194"/>
      <c r="J258" s="120"/>
      <c r="K258" s="120"/>
      <c r="L258" s="10"/>
      <c r="Z258" s="122"/>
    </row>
    <row r="259">
      <c r="A259" s="10"/>
      <c r="B259" s="10"/>
      <c r="C259" s="10"/>
      <c r="D259" s="10"/>
      <c r="E259" s="10"/>
      <c r="F259" s="10"/>
      <c r="G259" s="120"/>
      <c r="H259" s="194"/>
      <c r="I259" s="194"/>
      <c r="J259" s="120"/>
      <c r="K259" s="120"/>
      <c r="L259" s="10"/>
      <c r="Z259" s="122"/>
    </row>
    <row r="260">
      <c r="A260" s="10"/>
      <c r="B260" s="10"/>
      <c r="C260" s="10"/>
      <c r="D260" s="10"/>
      <c r="E260" s="10"/>
      <c r="F260" s="10"/>
      <c r="G260" s="120"/>
      <c r="H260" s="194"/>
      <c r="I260" s="194"/>
      <c r="J260" s="120"/>
      <c r="K260" s="120"/>
      <c r="L260" s="10"/>
      <c r="Z260" s="122"/>
    </row>
    <row r="261">
      <c r="A261" s="10"/>
      <c r="B261" s="10"/>
      <c r="C261" s="10"/>
      <c r="D261" s="10"/>
      <c r="E261" s="10"/>
      <c r="F261" s="10"/>
      <c r="G261" s="120"/>
      <c r="H261" s="194"/>
      <c r="I261" s="194"/>
      <c r="J261" s="120"/>
      <c r="K261" s="120"/>
      <c r="L261" s="10"/>
      <c r="Z261" s="122"/>
    </row>
    <row r="262">
      <c r="A262" s="10"/>
      <c r="B262" s="10"/>
      <c r="C262" s="10"/>
      <c r="D262" s="10"/>
      <c r="E262" s="10"/>
      <c r="F262" s="10"/>
      <c r="G262" s="120"/>
      <c r="H262" s="194"/>
      <c r="I262" s="194"/>
      <c r="J262" s="120"/>
      <c r="K262" s="120"/>
      <c r="L262" s="10"/>
      <c r="Z262" s="122"/>
    </row>
    <row r="263">
      <c r="A263" s="10"/>
      <c r="B263" s="10"/>
      <c r="C263" s="10"/>
      <c r="D263" s="10"/>
      <c r="E263" s="10"/>
      <c r="F263" s="10"/>
      <c r="G263" s="120"/>
      <c r="H263" s="194"/>
      <c r="I263" s="194"/>
      <c r="J263" s="120"/>
      <c r="K263" s="120"/>
      <c r="L263" s="10"/>
      <c r="Z263" s="122"/>
    </row>
    <row r="264">
      <c r="A264" s="10"/>
      <c r="B264" s="10"/>
      <c r="C264" s="10"/>
      <c r="D264" s="10"/>
      <c r="E264" s="10"/>
      <c r="F264" s="10"/>
      <c r="G264" s="120"/>
      <c r="H264" s="194"/>
      <c r="I264" s="194"/>
      <c r="J264" s="120"/>
      <c r="K264" s="120"/>
      <c r="L264" s="10"/>
      <c r="Z264" s="122"/>
    </row>
    <row r="265">
      <c r="A265" s="10"/>
      <c r="B265" s="10"/>
      <c r="C265" s="10"/>
      <c r="D265" s="10"/>
      <c r="E265" s="10"/>
      <c r="F265" s="10"/>
      <c r="G265" s="120"/>
      <c r="H265" s="194"/>
      <c r="I265" s="194"/>
      <c r="J265" s="120"/>
      <c r="K265" s="120"/>
      <c r="L265" s="10"/>
      <c r="Z265" s="122"/>
    </row>
    <row r="266">
      <c r="A266" s="10"/>
      <c r="B266" s="10"/>
      <c r="C266" s="10"/>
      <c r="D266" s="10"/>
      <c r="E266" s="10"/>
      <c r="F266" s="10"/>
      <c r="G266" s="120"/>
      <c r="H266" s="194"/>
      <c r="I266" s="194"/>
      <c r="J266" s="120"/>
      <c r="K266" s="120"/>
      <c r="L266" s="10"/>
      <c r="Z266" s="122"/>
    </row>
    <row r="267">
      <c r="A267" s="10"/>
      <c r="B267" s="10"/>
      <c r="C267" s="10"/>
      <c r="D267" s="10"/>
      <c r="E267" s="10"/>
      <c r="F267" s="10"/>
      <c r="G267" s="120"/>
      <c r="H267" s="194"/>
      <c r="I267" s="194"/>
      <c r="J267" s="120"/>
      <c r="K267" s="120"/>
      <c r="L267" s="10"/>
      <c r="Z267" s="122"/>
    </row>
    <row r="268">
      <c r="A268" s="10"/>
      <c r="B268" s="10"/>
      <c r="C268" s="10"/>
      <c r="D268" s="10"/>
      <c r="E268" s="10"/>
      <c r="F268" s="10"/>
      <c r="G268" s="120"/>
      <c r="H268" s="194"/>
      <c r="I268" s="194"/>
      <c r="J268" s="120"/>
      <c r="K268" s="120"/>
      <c r="L268" s="10"/>
      <c r="Z268" s="122"/>
    </row>
    <row r="269">
      <c r="A269" s="10"/>
      <c r="B269" s="10"/>
      <c r="C269" s="10"/>
      <c r="D269" s="10"/>
      <c r="E269" s="10"/>
      <c r="F269" s="10"/>
      <c r="G269" s="120"/>
      <c r="H269" s="194"/>
      <c r="I269" s="194"/>
      <c r="J269" s="120"/>
      <c r="K269" s="120"/>
      <c r="L269" s="10"/>
      <c r="Z269" s="122"/>
    </row>
    <row r="270">
      <c r="A270" s="10"/>
      <c r="B270" s="10"/>
      <c r="C270" s="10"/>
      <c r="D270" s="10"/>
      <c r="E270" s="10"/>
      <c r="F270" s="10"/>
      <c r="G270" s="120"/>
      <c r="H270" s="194"/>
      <c r="I270" s="194"/>
      <c r="J270" s="120"/>
      <c r="K270" s="120"/>
      <c r="L270" s="10"/>
      <c r="Z270" s="122"/>
    </row>
    <row r="271">
      <c r="A271" s="10"/>
      <c r="B271" s="10"/>
      <c r="C271" s="10"/>
      <c r="D271" s="10"/>
      <c r="E271" s="10"/>
      <c r="F271" s="10"/>
      <c r="G271" s="120"/>
      <c r="H271" s="194"/>
      <c r="I271" s="194"/>
      <c r="J271" s="120"/>
      <c r="K271" s="120"/>
      <c r="L271" s="10"/>
      <c r="Z271" s="122"/>
    </row>
    <row r="272">
      <c r="A272" s="10"/>
      <c r="B272" s="10"/>
      <c r="C272" s="10"/>
      <c r="D272" s="10"/>
      <c r="E272" s="10"/>
      <c r="F272" s="10"/>
      <c r="G272" s="120"/>
      <c r="H272" s="194"/>
      <c r="I272" s="194"/>
      <c r="J272" s="120"/>
      <c r="K272" s="120"/>
      <c r="L272" s="10"/>
      <c r="Z272" s="122"/>
    </row>
    <row r="273">
      <c r="A273" s="10"/>
      <c r="B273" s="10"/>
      <c r="C273" s="10"/>
      <c r="D273" s="10"/>
      <c r="E273" s="10"/>
      <c r="F273" s="10"/>
      <c r="G273" s="120"/>
      <c r="H273" s="194"/>
      <c r="I273" s="194"/>
      <c r="J273" s="120"/>
      <c r="K273" s="120"/>
      <c r="L273" s="10"/>
      <c r="Z273" s="122"/>
    </row>
    <row r="274">
      <c r="A274" s="10"/>
      <c r="B274" s="10"/>
      <c r="C274" s="10"/>
      <c r="D274" s="10"/>
      <c r="E274" s="10"/>
      <c r="F274" s="10"/>
      <c r="G274" s="120"/>
      <c r="H274" s="194"/>
      <c r="I274" s="194"/>
      <c r="J274" s="120"/>
      <c r="K274" s="120"/>
      <c r="L274" s="10"/>
      <c r="Z274" s="122"/>
    </row>
    <row r="275">
      <c r="A275" s="10"/>
      <c r="B275" s="10"/>
      <c r="C275" s="10"/>
      <c r="D275" s="10"/>
      <c r="E275" s="10"/>
      <c r="F275" s="10"/>
      <c r="G275" s="120"/>
      <c r="H275" s="194"/>
      <c r="I275" s="194"/>
      <c r="J275" s="120"/>
      <c r="K275" s="120"/>
      <c r="L275" s="10"/>
      <c r="Z275" s="122"/>
    </row>
    <row r="276">
      <c r="A276" s="10"/>
      <c r="B276" s="10"/>
      <c r="C276" s="10"/>
      <c r="D276" s="10"/>
      <c r="E276" s="10"/>
      <c r="F276" s="10"/>
      <c r="G276" s="120"/>
      <c r="H276" s="194"/>
      <c r="I276" s="194"/>
      <c r="J276" s="120"/>
      <c r="K276" s="120"/>
      <c r="L276" s="10"/>
      <c r="Z276" s="122"/>
    </row>
    <row r="277">
      <c r="A277" s="10"/>
      <c r="B277" s="10"/>
      <c r="C277" s="10"/>
      <c r="D277" s="10"/>
      <c r="E277" s="10"/>
      <c r="F277" s="10"/>
      <c r="G277" s="120"/>
      <c r="H277" s="194"/>
      <c r="I277" s="194"/>
      <c r="J277" s="120"/>
      <c r="K277" s="120"/>
      <c r="L277" s="10"/>
      <c r="Z277" s="122"/>
    </row>
    <row r="278">
      <c r="A278" s="10"/>
      <c r="B278" s="10"/>
      <c r="C278" s="10"/>
      <c r="D278" s="10"/>
      <c r="E278" s="10"/>
      <c r="F278" s="10"/>
      <c r="G278" s="120"/>
      <c r="H278" s="194"/>
      <c r="I278" s="194"/>
      <c r="J278" s="120"/>
      <c r="K278" s="120"/>
      <c r="L278" s="10"/>
      <c r="Z278" s="122"/>
    </row>
    <row r="279">
      <c r="A279" s="10"/>
      <c r="B279" s="10"/>
      <c r="C279" s="10"/>
      <c r="D279" s="10"/>
      <c r="E279" s="10"/>
      <c r="F279" s="10"/>
      <c r="G279" s="120"/>
      <c r="H279" s="194"/>
      <c r="I279" s="194"/>
      <c r="J279" s="120"/>
      <c r="K279" s="120"/>
      <c r="L279" s="10"/>
      <c r="Z279" s="122"/>
    </row>
    <row r="280">
      <c r="A280" s="10"/>
      <c r="B280" s="10"/>
      <c r="C280" s="10"/>
      <c r="D280" s="10"/>
      <c r="E280" s="10"/>
      <c r="F280" s="10"/>
      <c r="G280" s="120"/>
      <c r="H280" s="194"/>
      <c r="I280" s="194"/>
      <c r="J280" s="120"/>
      <c r="K280" s="120"/>
      <c r="L280" s="10"/>
      <c r="Z280" s="122"/>
    </row>
    <row r="281">
      <c r="A281" s="10"/>
      <c r="B281" s="10"/>
      <c r="C281" s="10"/>
      <c r="D281" s="10"/>
      <c r="E281" s="10"/>
      <c r="F281" s="10"/>
      <c r="G281" s="120"/>
      <c r="H281" s="194"/>
      <c r="I281" s="194"/>
      <c r="J281" s="120"/>
      <c r="K281" s="120"/>
      <c r="L281" s="10"/>
      <c r="Z281" s="122"/>
    </row>
    <row r="282">
      <c r="A282" s="10"/>
      <c r="B282" s="10"/>
      <c r="C282" s="10"/>
      <c r="D282" s="10"/>
      <c r="E282" s="10"/>
      <c r="F282" s="10"/>
      <c r="G282" s="120"/>
      <c r="H282" s="194"/>
      <c r="I282" s="194"/>
      <c r="J282" s="120"/>
      <c r="K282" s="120"/>
      <c r="L282" s="10"/>
      <c r="Z282" s="122"/>
    </row>
    <row r="283">
      <c r="A283" s="10"/>
      <c r="B283" s="10"/>
      <c r="C283" s="10"/>
      <c r="D283" s="10"/>
      <c r="E283" s="10"/>
      <c r="F283" s="10"/>
      <c r="G283" s="120"/>
      <c r="H283" s="194"/>
      <c r="I283" s="194"/>
      <c r="J283" s="120"/>
      <c r="K283" s="120"/>
      <c r="L283" s="10"/>
      <c r="Z283" s="122"/>
    </row>
    <row r="284">
      <c r="A284" s="10"/>
      <c r="B284" s="10"/>
      <c r="C284" s="10"/>
      <c r="D284" s="10"/>
      <c r="E284" s="10"/>
      <c r="F284" s="10"/>
      <c r="G284" s="120"/>
      <c r="H284" s="194"/>
      <c r="I284" s="194"/>
      <c r="J284" s="120"/>
      <c r="K284" s="120"/>
      <c r="L284" s="10"/>
      <c r="Z284" s="122"/>
    </row>
    <row r="285">
      <c r="A285" s="10"/>
      <c r="B285" s="10"/>
      <c r="C285" s="10"/>
      <c r="D285" s="10"/>
      <c r="E285" s="10"/>
      <c r="F285" s="10"/>
      <c r="G285" s="120"/>
      <c r="H285" s="194"/>
      <c r="I285" s="194"/>
      <c r="J285" s="120"/>
      <c r="K285" s="120"/>
      <c r="L285" s="10"/>
      <c r="Z285" s="122"/>
    </row>
    <row r="286">
      <c r="A286" s="10"/>
      <c r="B286" s="10"/>
      <c r="C286" s="10"/>
      <c r="D286" s="10"/>
      <c r="E286" s="10"/>
      <c r="F286" s="10"/>
      <c r="G286" s="120"/>
      <c r="H286" s="194"/>
      <c r="I286" s="194"/>
      <c r="J286" s="120"/>
      <c r="K286" s="120"/>
      <c r="L286" s="10"/>
      <c r="Z286" s="122"/>
    </row>
    <row r="287">
      <c r="A287" s="10"/>
      <c r="B287" s="10"/>
      <c r="C287" s="10"/>
      <c r="D287" s="10"/>
      <c r="E287" s="10"/>
      <c r="F287" s="10"/>
      <c r="G287" s="120"/>
      <c r="H287" s="194"/>
      <c r="I287" s="194"/>
      <c r="J287" s="120"/>
      <c r="K287" s="120"/>
      <c r="L287" s="10"/>
      <c r="Z287" s="122"/>
    </row>
    <row r="288">
      <c r="A288" s="10"/>
      <c r="B288" s="10"/>
      <c r="C288" s="10"/>
      <c r="D288" s="10"/>
      <c r="E288" s="10"/>
      <c r="F288" s="10"/>
      <c r="G288" s="120"/>
      <c r="H288" s="194"/>
      <c r="I288" s="194"/>
      <c r="J288" s="120"/>
      <c r="K288" s="120"/>
      <c r="L288" s="10"/>
      <c r="Z288" s="122"/>
    </row>
    <row r="289">
      <c r="A289" s="10"/>
      <c r="B289" s="10"/>
      <c r="C289" s="10"/>
      <c r="D289" s="10"/>
      <c r="E289" s="10"/>
      <c r="F289" s="10"/>
      <c r="G289" s="120"/>
      <c r="H289" s="194"/>
      <c r="I289" s="194"/>
      <c r="J289" s="120"/>
      <c r="K289" s="120"/>
      <c r="L289" s="10"/>
      <c r="Z289" s="122"/>
    </row>
    <row r="290">
      <c r="A290" s="10"/>
      <c r="B290" s="10"/>
      <c r="C290" s="10"/>
      <c r="D290" s="10"/>
      <c r="E290" s="10"/>
      <c r="F290" s="10"/>
      <c r="G290" s="120"/>
      <c r="H290" s="194"/>
      <c r="I290" s="194"/>
      <c r="J290" s="120"/>
      <c r="K290" s="120"/>
      <c r="L290" s="10"/>
      <c r="Z290" s="122"/>
    </row>
    <row r="291">
      <c r="A291" s="10"/>
      <c r="B291" s="10"/>
      <c r="C291" s="10"/>
      <c r="D291" s="10"/>
      <c r="E291" s="10"/>
      <c r="F291" s="10"/>
      <c r="G291" s="120"/>
      <c r="H291" s="194"/>
      <c r="I291" s="194"/>
      <c r="J291" s="120"/>
      <c r="K291" s="120"/>
      <c r="L291" s="10"/>
      <c r="Z291" s="122"/>
    </row>
    <row r="292">
      <c r="A292" s="10"/>
      <c r="B292" s="10"/>
      <c r="C292" s="10"/>
      <c r="D292" s="10"/>
      <c r="E292" s="10"/>
      <c r="F292" s="10"/>
      <c r="G292" s="120"/>
      <c r="H292" s="194"/>
      <c r="I292" s="194"/>
      <c r="J292" s="120"/>
      <c r="K292" s="120"/>
      <c r="L292" s="10"/>
      <c r="Z292" s="122"/>
    </row>
    <row r="293">
      <c r="A293" s="10"/>
      <c r="B293" s="10"/>
      <c r="C293" s="10"/>
      <c r="D293" s="10"/>
      <c r="E293" s="10"/>
      <c r="F293" s="10"/>
      <c r="G293" s="120"/>
      <c r="H293" s="194"/>
      <c r="I293" s="194"/>
      <c r="J293" s="120"/>
      <c r="K293" s="120"/>
      <c r="L293" s="10"/>
      <c r="Z293" s="122"/>
    </row>
    <row r="294">
      <c r="A294" s="10"/>
      <c r="B294" s="10"/>
      <c r="C294" s="10"/>
      <c r="D294" s="10"/>
      <c r="E294" s="10"/>
      <c r="F294" s="10"/>
      <c r="G294" s="120"/>
      <c r="H294" s="194"/>
      <c r="I294" s="194"/>
      <c r="J294" s="120"/>
      <c r="K294" s="120"/>
      <c r="L294" s="10"/>
      <c r="Z294" s="122"/>
    </row>
    <row r="295">
      <c r="A295" s="10"/>
      <c r="B295" s="10"/>
      <c r="C295" s="10"/>
      <c r="D295" s="10"/>
      <c r="E295" s="10"/>
      <c r="F295" s="10"/>
      <c r="G295" s="120"/>
      <c r="H295" s="194"/>
      <c r="I295" s="194"/>
      <c r="J295" s="120"/>
      <c r="K295" s="120"/>
      <c r="L295" s="10"/>
      <c r="Z295" s="122"/>
    </row>
    <row r="296">
      <c r="A296" s="10"/>
      <c r="B296" s="10"/>
      <c r="C296" s="10"/>
      <c r="D296" s="10"/>
      <c r="E296" s="10"/>
      <c r="F296" s="10"/>
      <c r="G296" s="120"/>
      <c r="H296" s="194"/>
      <c r="I296" s="194"/>
      <c r="J296" s="120"/>
      <c r="K296" s="120"/>
      <c r="L296" s="10"/>
      <c r="Z296" s="122"/>
    </row>
    <row r="297">
      <c r="A297" s="10"/>
      <c r="B297" s="10"/>
      <c r="C297" s="10"/>
      <c r="D297" s="10"/>
      <c r="E297" s="10"/>
      <c r="F297" s="10"/>
      <c r="G297" s="120"/>
      <c r="H297" s="194"/>
      <c r="I297" s="194"/>
      <c r="J297" s="120"/>
      <c r="K297" s="120"/>
      <c r="L297" s="10"/>
      <c r="Z297" s="122"/>
    </row>
    <row r="298">
      <c r="A298" s="10"/>
      <c r="B298" s="10"/>
      <c r="C298" s="10"/>
      <c r="D298" s="10"/>
      <c r="E298" s="10"/>
      <c r="F298" s="10"/>
      <c r="G298" s="120"/>
      <c r="H298" s="194"/>
      <c r="I298" s="194"/>
      <c r="J298" s="120"/>
      <c r="K298" s="120"/>
      <c r="L298" s="10"/>
      <c r="Z298" s="122"/>
    </row>
    <row r="299">
      <c r="A299" s="10"/>
      <c r="B299" s="10"/>
      <c r="C299" s="10"/>
      <c r="D299" s="10"/>
      <c r="E299" s="10"/>
      <c r="F299" s="10"/>
      <c r="G299" s="120"/>
      <c r="H299" s="194"/>
      <c r="I299" s="194"/>
      <c r="J299" s="120"/>
      <c r="K299" s="120"/>
      <c r="L299" s="10"/>
      <c r="Z299" s="122"/>
    </row>
    <row r="300">
      <c r="A300" s="10"/>
      <c r="B300" s="10"/>
      <c r="C300" s="10"/>
      <c r="D300" s="10"/>
      <c r="E300" s="10"/>
      <c r="F300" s="10"/>
      <c r="G300" s="120"/>
      <c r="H300" s="194"/>
      <c r="I300" s="194"/>
      <c r="J300" s="120"/>
      <c r="K300" s="120"/>
      <c r="L300" s="10"/>
      <c r="Z300" s="122"/>
    </row>
    <row r="301">
      <c r="A301" s="10"/>
      <c r="B301" s="10"/>
      <c r="C301" s="10"/>
      <c r="D301" s="10"/>
      <c r="E301" s="10"/>
      <c r="F301" s="10"/>
      <c r="G301" s="120"/>
      <c r="H301" s="194"/>
      <c r="I301" s="194"/>
      <c r="J301" s="120"/>
      <c r="K301" s="120"/>
      <c r="L301" s="10"/>
      <c r="Z301" s="122"/>
    </row>
    <row r="302">
      <c r="A302" s="10"/>
      <c r="B302" s="10"/>
      <c r="C302" s="10"/>
      <c r="D302" s="10"/>
      <c r="E302" s="10"/>
      <c r="F302" s="10"/>
      <c r="G302" s="120"/>
      <c r="H302" s="194"/>
      <c r="I302" s="194"/>
      <c r="J302" s="120"/>
      <c r="K302" s="120"/>
      <c r="L302" s="10"/>
      <c r="Z302" s="122"/>
    </row>
    <row r="303">
      <c r="A303" s="10"/>
      <c r="B303" s="10"/>
      <c r="C303" s="10"/>
      <c r="D303" s="10"/>
      <c r="E303" s="10"/>
      <c r="F303" s="10"/>
      <c r="G303" s="120"/>
      <c r="H303" s="194"/>
      <c r="I303" s="194"/>
      <c r="J303" s="120"/>
      <c r="K303" s="120"/>
      <c r="L303" s="10"/>
      <c r="Z303" s="122"/>
    </row>
    <row r="304">
      <c r="A304" s="10"/>
      <c r="B304" s="10"/>
      <c r="C304" s="10"/>
      <c r="D304" s="10"/>
      <c r="E304" s="10"/>
      <c r="F304" s="10"/>
      <c r="G304" s="120"/>
      <c r="H304" s="194"/>
      <c r="I304" s="194"/>
      <c r="J304" s="120"/>
      <c r="K304" s="120"/>
      <c r="L304" s="10"/>
      <c r="Z304" s="122"/>
    </row>
    <row r="305">
      <c r="A305" s="10"/>
      <c r="B305" s="10"/>
      <c r="C305" s="10"/>
      <c r="D305" s="10"/>
      <c r="E305" s="10"/>
      <c r="F305" s="10"/>
      <c r="G305" s="120"/>
      <c r="H305" s="194"/>
      <c r="I305" s="194"/>
      <c r="J305" s="120"/>
      <c r="K305" s="120"/>
      <c r="L305" s="10"/>
      <c r="Z305" s="122"/>
    </row>
    <row r="306">
      <c r="A306" s="10"/>
      <c r="B306" s="10"/>
      <c r="C306" s="10"/>
      <c r="D306" s="10"/>
      <c r="E306" s="10"/>
      <c r="F306" s="10"/>
      <c r="G306" s="120"/>
      <c r="H306" s="194"/>
      <c r="I306" s="194"/>
      <c r="J306" s="120"/>
      <c r="K306" s="120"/>
      <c r="L306" s="10"/>
      <c r="Z306" s="122"/>
    </row>
    <row r="307">
      <c r="A307" s="10"/>
      <c r="B307" s="10"/>
      <c r="C307" s="10"/>
      <c r="D307" s="10"/>
      <c r="E307" s="10"/>
      <c r="F307" s="10"/>
      <c r="G307" s="120"/>
      <c r="H307" s="194"/>
      <c r="I307" s="194"/>
      <c r="J307" s="120"/>
      <c r="K307" s="120"/>
      <c r="L307" s="10"/>
      <c r="Z307" s="122"/>
    </row>
    <row r="308">
      <c r="A308" s="10"/>
      <c r="B308" s="10"/>
      <c r="C308" s="10"/>
      <c r="D308" s="10"/>
      <c r="E308" s="10"/>
      <c r="F308" s="10"/>
      <c r="G308" s="120"/>
      <c r="H308" s="194"/>
      <c r="I308" s="194"/>
      <c r="J308" s="120"/>
      <c r="K308" s="120"/>
      <c r="L308" s="10"/>
      <c r="Z308" s="122"/>
    </row>
    <row r="309">
      <c r="A309" s="10"/>
      <c r="B309" s="10"/>
      <c r="C309" s="10"/>
      <c r="D309" s="10"/>
      <c r="E309" s="10"/>
      <c r="F309" s="10"/>
      <c r="G309" s="120"/>
      <c r="H309" s="194"/>
      <c r="I309" s="194"/>
      <c r="J309" s="120"/>
      <c r="K309" s="120"/>
      <c r="L309" s="10"/>
      <c r="Z309" s="122"/>
    </row>
    <row r="310">
      <c r="A310" s="10"/>
      <c r="B310" s="10"/>
      <c r="C310" s="10"/>
      <c r="D310" s="10"/>
      <c r="E310" s="10"/>
      <c r="F310" s="10"/>
      <c r="G310" s="120"/>
      <c r="H310" s="194"/>
      <c r="I310" s="194"/>
      <c r="J310" s="120"/>
      <c r="K310" s="120"/>
      <c r="L310" s="10"/>
      <c r="Z310" s="122"/>
    </row>
    <row r="311">
      <c r="A311" s="10"/>
      <c r="B311" s="10"/>
      <c r="C311" s="10"/>
      <c r="D311" s="10"/>
      <c r="E311" s="10"/>
      <c r="F311" s="10"/>
      <c r="G311" s="120"/>
      <c r="H311" s="194"/>
      <c r="I311" s="194"/>
      <c r="J311" s="120"/>
      <c r="K311" s="120"/>
      <c r="L311" s="10"/>
      <c r="Z311" s="122"/>
    </row>
    <row r="312">
      <c r="A312" s="10"/>
      <c r="B312" s="10"/>
      <c r="C312" s="10"/>
      <c r="D312" s="10"/>
      <c r="E312" s="10"/>
      <c r="F312" s="10"/>
      <c r="G312" s="120"/>
      <c r="H312" s="194"/>
      <c r="I312" s="194"/>
      <c r="J312" s="120"/>
      <c r="K312" s="120"/>
      <c r="L312" s="10"/>
      <c r="Z312" s="122"/>
    </row>
    <row r="313">
      <c r="A313" s="10"/>
      <c r="B313" s="10"/>
      <c r="C313" s="10"/>
      <c r="D313" s="10"/>
      <c r="E313" s="10"/>
      <c r="F313" s="10"/>
      <c r="G313" s="120"/>
      <c r="H313" s="194"/>
      <c r="I313" s="194"/>
      <c r="J313" s="120"/>
      <c r="K313" s="120"/>
      <c r="L313" s="10"/>
      <c r="Z313" s="122"/>
    </row>
    <row r="314">
      <c r="A314" s="10"/>
      <c r="B314" s="10"/>
      <c r="C314" s="10"/>
      <c r="D314" s="10"/>
      <c r="E314" s="10"/>
      <c r="F314" s="10"/>
      <c r="G314" s="120"/>
      <c r="H314" s="194"/>
      <c r="I314" s="194"/>
      <c r="J314" s="120"/>
      <c r="K314" s="120"/>
      <c r="L314" s="10"/>
      <c r="Z314" s="122"/>
    </row>
    <row r="315">
      <c r="A315" s="10"/>
      <c r="B315" s="10"/>
      <c r="C315" s="10"/>
      <c r="D315" s="10"/>
      <c r="E315" s="10"/>
      <c r="F315" s="10"/>
      <c r="G315" s="120"/>
      <c r="H315" s="194"/>
      <c r="I315" s="194"/>
      <c r="J315" s="120"/>
      <c r="K315" s="120"/>
      <c r="L315" s="10"/>
      <c r="Z315" s="122"/>
    </row>
    <row r="316">
      <c r="A316" s="10"/>
      <c r="B316" s="10"/>
      <c r="C316" s="10"/>
      <c r="D316" s="10"/>
      <c r="E316" s="10"/>
      <c r="F316" s="10"/>
      <c r="G316" s="120"/>
      <c r="H316" s="194"/>
      <c r="I316" s="194"/>
      <c r="J316" s="120"/>
      <c r="K316" s="120"/>
      <c r="L316" s="10"/>
      <c r="Z316" s="122"/>
    </row>
    <row r="317">
      <c r="A317" s="10"/>
      <c r="B317" s="10"/>
      <c r="C317" s="10"/>
      <c r="D317" s="10"/>
      <c r="E317" s="10"/>
      <c r="F317" s="10"/>
      <c r="G317" s="120"/>
      <c r="H317" s="194"/>
      <c r="I317" s="194"/>
      <c r="J317" s="120"/>
      <c r="K317" s="120"/>
      <c r="L317" s="10"/>
      <c r="Z317" s="122"/>
    </row>
    <row r="318">
      <c r="A318" s="10"/>
      <c r="B318" s="10"/>
      <c r="C318" s="10"/>
      <c r="D318" s="10"/>
      <c r="E318" s="10"/>
      <c r="F318" s="10"/>
      <c r="G318" s="120"/>
      <c r="H318" s="194"/>
      <c r="I318" s="194"/>
      <c r="J318" s="120"/>
      <c r="K318" s="120"/>
      <c r="L318" s="10"/>
      <c r="Z318" s="122"/>
    </row>
    <row r="319">
      <c r="A319" s="10"/>
      <c r="B319" s="10"/>
      <c r="C319" s="10"/>
      <c r="D319" s="10"/>
      <c r="E319" s="10"/>
      <c r="F319" s="10"/>
      <c r="G319" s="120"/>
      <c r="H319" s="194"/>
      <c r="I319" s="194"/>
      <c r="J319" s="120"/>
      <c r="K319" s="120"/>
      <c r="L319" s="10"/>
      <c r="Z319" s="122"/>
    </row>
    <row r="320">
      <c r="A320" s="10"/>
      <c r="B320" s="10"/>
      <c r="C320" s="10"/>
      <c r="D320" s="10"/>
      <c r="E320" s="10"/>
      <c r="F320" s="10"/>
      <c r="G320" s="120"/>
      <c r="H320" s="194"/>
      <c r="I320" s="194"/>
      <c r="J320" s="120"/>
      <c r="K320" s="120"/>
      <c r="L320" s="10"/>
      <c r="Z320" s="122"/>
    </row>
    <row r="321">
      <c r="A321" s="10"/>
      <c r="B321" s="10"/>
      <c r="C321" s="10"/>
      <c r="D321" s="10"/>
      <c r="E321" s="10"/>
      <c r="F321" s="10"/>
      <c r="G321" s="120"/>
      <c r="H321" s="194"/>
      <c r="I321" s="194"/>
      <c r="J321" s="120"/>
      <c r="K321" s="120"/>
      <c r="L321" s="10"/>
      <c r="Z321" s="122"/>
    </row>
    <row r="322">
      <c r="A322" s="10"/>
      <c r="B322" s="10"/>
      <c r="C322" s="10"/>
      <c r="D322" s="10"/>
      <c r="E322" s="10"/>
      <c r="F322" s="10"/>
      <c r="G322" s="120"/>
      <c r="H322" s="194"/>
      <c r="I322" s="194"/>
      <c r="J322" s="120"/>
      <c r="K322" s="120"/>
      <c r="L322" s="10"/>
      <c r="Z322" s="122"/>
    </row>
    <row r="323">
      <c r="A323" s="10"/>
      <c r="B323" s="10"/>
      <c r="C323" s="10"/>
      <c r="D323" s="10"/>
      <c r="E323" s="10"/>
      <c r="F323" s="10"/>
      <c r="G323" s="120"/>
      <c r="H323" s="194"/>
      <c r="I323" s="194"/>
      <c r="J323" s="120"/>
      <c r="K323" s="120"/>
      <c r="L323" s="10"/>
      <c r="Z323" s="122"/>
    </row>
    <row r="324">
      <c r="A324" s="10"/>
      <c r="B324" s="10"/>
      <c r="C324" s="10"/>
      <c r="D324" s="10"/>
      <c r="E324" s="10"/>
      <c r="F324" s="10"/>
      <c r="G324" s="120"/>
      <c r="H324" s="194"/>
      <c r="I324" s="194"/>
      <c r="J324" s="120"/>
      <c r="K324" s="120"/>
      <c r="L324" s="10"/>
      <c r="Z324" s="122"/>
    </row>
    <row r="325">
      <c r="A325" s="10"/>
      <c r="B325" s="10"/>
      <c r="C325" s="10"/>
      <c r="D325" s="10"/>
      <c r="E325" s="10"/>
      <c r="F325" s="10"/>
      <c r="G325" s="120"/>
      <c r="H325" s="194"/>
      <c r="I325" s="194"/>
      <c r="J325" s="120"/>
      <c r="K325" s="120"/>
      <c r="L325" s="10"/>
      <c r="Z325" s="122"/>
    </row>
    <row r="326">
      <c r="A326" s="10"/>
      <c r="B326" s="10"/>
      <c r="C326" s="10"/>
      <c r="D326" s="10"/>
      <c r="E326" s="10"/>
      <c r="F326" s="10"/>
      <c r="G326" s="120"/>
      <c r="H326" s="194"/>
      <c r="I326" s="194"/>
      <c r="J326" s="120"/>
      <c r="K326" s="120"/>
      <c r="L326" s="10"/>
      <c r="Z326" s="122"/>
    </row>
    <row r="327">
      <c r="A327" s="10"/>
      <c r="B327" s="10"/>
      <c r="C327" s="10"/>
      <c r="D327" s="10"/>
      <c r="E327" s="10"/>
      <c r="F327" s="10"/>
      <c r="G327" s="120"/>
      <c r="H327" s="194"/>
      <c r="I327" s="194"/>
      <c r="J327" s="120"/>
      <c r="K327" s="120"/>
      <c r="L327" s="10"/>
      <c r="Z327" s="122"/>
    </row>
    <row r="328">
      <c r="A328" s="10"/>
      <c r="B328" s="10"/>
      <c r="C328" s="10"/>
      <c r="D328" s="10"/>
      <c r="E328" s="10"/>
      <c r="F328" s="10"/>
      <c r="G328" s="120"/>
      <c r="H328" s="194"/>
      <c r="I328" s="194"/>
      <c r="J328" s="120"/>
      <c r="K328" s="120"/>
      <c r="L328" s="10"/>
      <c r="Z328" s="122"/>
    </row>
    <row r="329">
      <c r="A329" s="10"/>
      <c r="B329" s="10"/>
      <c r="C329" s="10"/>
      <c r="D329" s="10"/>
      <c r="E329" s="10"/>
      <c r="F329" s="10"/>
      <c r="G329" s="120"/>
      <c r="H329" s="194"/>
      <c r="I329" s="194"/>
      <c r="J329" s="120"/>
      <c r="K329" s="120"/>
      <c r="L329" s="10"/>
      <c r="Z329" s="122"/>
    </row>
    <row r="330">
      <c r="A330" s="10"/>
      <c r="B330" s="10"/>
      <c r="C330" s="10"/>
      <c r="D330" s="10"/>
      <c r="E330" s="10"/>
      <c r="F330" s="10"/>
      <c r="G330" s="120"/>
      <c r="H330" s="194"/>
      <c r="I330" s="194"/>
      <c r="J330" s="120"/>
      <c r="K330" s="120"/>
      <c r="L330" s="10"/>
      <c r="Z330" s="122"/>
    </row>
    <row r="331">
      <c r="A331" s="10"/>
      <c r="B331" s="10"/>
      <c r="C331" s="10"/>
      <c r="D331" s="10"/>
      <c r="E331" s="10"/>
      <c r="F331" s="10"/>
      <c r="G331" s="120"/>
      <c r="H331" s="194"/>
      <c r="I331" s="194"/>
      <c r="J331" s="120"/>
      <c r="K331" s="120"/>
      <c r="L331" s="10"/>
      <c r="Z331" s="122"/>
    </row>
    <row r="332">
      <c r="A332" s="10"/>
      <c r="B332" s="10"/>
      <c r="C332" s="10"/>
      <c r="D332" s="10"/>
      <c r="E332" s="10"/>
      <c r="F332" s="10"/>
      <c r="G332" s="120"/>
      <c r="H332" s="194"/>
      <c r="I332" s="194"/>
      <c r="J332" s="120"/>
      <c r="K332" s="120"/>
      <c r="L332" s="10"/>
      <c r="Z332" s="122"/>
    </row>
    <row r="333">
      <c r="A333" s="10"/>
      <c r="B333" s="10"/>
      <c r="C333" s="10"/>
      <c r="D333" s="10"/>
      <c r="E333" s="10"/>
      <c r="F333" s="10"/>
      <c r="G333" s="120"/>
      <c r="H333" s="194"/>
      <c r="I333" s="194"/>
      <c r="J333" s="120"/>
      <c r="K333" s="120"/>
      <c r="L333" s="10"/>
      <c r="Z333" s="122"/>
    </row>
    <row r="334">
      <c r="A334" s="10"/>
      <c r="B334" s="10"/>
      <c r="C334" s="10"/>
      <c r="D334" s="10"/>
      <c r="E334" s="10"/>
      <c r="F334" s="10"/>
      <c r="G334" s="120"/>
      <c r="H334" s="194"/>
      <c r="I334" s="194"/>
      <c r="J334" s="120"/>
      <c r="K334" s="120"/>
      <c r="L334" s="10"/>
      <c r="Z334" s="122"/>
    </row>
    <row r="335">
      <c r="A335" s="10"/>
      <c r="B335" s="10"/>
      <c r="C335" s="10"/>
      <c r="D335" s="10"/>
      <c r="E335" s="10"/>
      <c r="F335" s="10"/>
      <c r="G335" s="120"/>
      <c r="H335" s="194"/>
      <c r="I335" s="194"/>
      <c r="J335" s="120"/>
      <c r="K335" s="120"/>
      <c r="L335" s="10"/>
      <c r="Z335" s="122"/>
    </row>
    <row r="336">
      <c r="A336" s="10"/>
      <c r="B336" s="10"/>
      <c r="C336" s="10"/>
      <c r="D336" s="10"/>
      <c r="E336" s="10"/>
      <c r="F336" s="10"/>
      <c r="G336" s="120"/>
      <c r="H336" s="194"/>
      <c r="I336" s="194"/>
      <c r="J336" s="120"/>
      <c r="K336" s="120"/>
      <c r="L336" s="10"/>
      <c r="Z336" s="122"/>
    </row>
    <row r="337">
      <c r="A337" s="10"/>
      <c r="B337" s="10"/>
      <c r="C337" s="10"/>
      <c r="D337" s="10"/>
      <c r="E337" s="10"/>
      <c r="F337" s="10"/>
      <c r="G337" s="120"/>
      <c r="H337" s="194"/>
      <c r="I337" s="194"/>
      <c r="J337" s="120"/>
      <c r="K337" s="120"/>
      <c r="L337" s="10"/>
      <c r="Z337" s="122"/>
    </row>
    <row r="338">
      <c r="A338" s="10"/>
      <c r="B338" s="10"/>
      <c r="C338" s="10"/>
      <c r="D338" s="10"/>
      <c r="E338" s="10"/>
      <c r="F338" s="10"/>
      <c r="G338" s="120"/>
      <c r="H338" s="194"/>
      <c r="I338" s="194"/>
      <c r="J338" s="120"/>
      <c r="K338" s="120"/>
      <c r="L338" s="10"/>
      <c r="Z338" s="122"/>
    </row>
    <row r="339">
      <c r="A339" s="10"/>
      <c r="B339" s="10"/>
      <c r="C339" s="10"/>
      <c r="D339" s="10"/>
      <c r="E339" s="10"/>
      <c r="F339" s="10"/>
      <c r="G339" s="120"/>
      <c r="H339" s="194"/>
      <c r="I339" s="194"/>
      <c r="J339" s="120"/>
      <c r="K339" s="120"/>
      <c r="L339" s="10"/>
      <c r="Z339" s="122"/>
    </row>
    <row r="340">
      <c r="A340" s="10"/>
      <c r="B340" s="10"/>
      <c r="C340" s="10"/>
      <c r="D340" s="10"/>
      <c r="E340" s="10"/>
      <c r="F340" s="10"/>
      <c r="G340" s="120"/>
      <c r="H340" s="194"/>
      <c r="I340" s="194"/>
      <c r="J340" s="120"/>
      <c r="K340" s="120"/>
      <c r="L340" s="10"/>
      <c r="Z340" s="122"/>
    </row>
    <row r="341">
      <c r="A341" s="10"/>
      <c r="B341" s="10"/>
      <c r="C341" s="10"/>
      <c r="D341" s="10"/>
      <c r="E341" s="10"/>
      <c r="F341" s="10"/>
      <c r="G341" s="120"/>
      <c r="H341" s="194"/>
      <c r="I341" s="194"/>
      <c r="J341" s="120"/>
      <c r="K341" s="120"/>
      <c r="L341" s="10"/>
      <c r="Z341" s="122"/>
    </row>
    <row r="342">
      <c r="A342" s="10"/>
      <c r="B342" s="10"/>
      <c r="C342" s="10"/>
      <c r="D342" s="10"/>
      <c r="E342" s="10"/>
      <c r="F342" s="10"/>
      <c r="G342" s="120"/>
      <c r="H342" s="194"/>
      <c r="I342" s="194"/>
      <c r="J342" s="120"/>
      <c r="K342" s="120"/>
      <c r="L342" s="10"/>
      <c r="Z342" s="122"/>
    </row>
    <row r="343">
      <c r="A343" s="10"/>
      <c r="B343" s="10"/>
      <c r="C343" s="10"/>
      <c r="D343" s="10"/>
      <c r="E343" s="10"/>
      <c r="F343" s="10"/>
      <c r="G343" s="120"/>
      <c r="H343" s="194"/>
      <c r="I343" s="194"/>
      <c r="J343" s="120"/>
      <c r="K343" s="120"/>
      <c r="L343" s="10"/>
      <c r="Z343" s="122"/>
    </row>
    <row r="344">
      <c r="A344" s="10"/>
      <c r="B344" s="10"/>
      <c r="C344" s="10"/>
      <c r="D344" s="10"/>
      <c r="E344" s="10"/>
      <c r="F344" s="10"/>
      <c r="G344" s="120"/>
      <c r="H344" s="194"/>
      <c r="I344" s="194"/>
      <c r="J344" s="120"/>
      <c r="K344" s="120"/>
      <c r="L344" s="10"/>
      <c r="Z344" s="122"/>
    </row>
    <row r="345">
      <c r="A345" s="10"/>
      <c r="B345" s="10"/>
      <c r="C345" s="10"/>
      <c r="D345" s="10"/>
      <c r="E345" s="10"/>
      <c r="F345" s="10"/>
      <c r="G345" s="120"/>
      <c r="H345" s="194"/>
      <c r="I345" s="194"/>
      <c r="J345" s="120"/>
      <c r="K345" s="120"/>
      <c r="L345" s="10"/>
      <c r="Z345" s="122"/>
    </row>
    <row r="346">
      <c r="A346" s="10"/>
      <c r="B346" s="10"/>
      <c r="C346" s="10"/>
      <c r="D346" s="10"/>
      <c r="E346" s="10"/>
      <c r="F346" s="10"/>
      <c r="G346" s="120"/>
      <c r="H346" s="194"/>
      <c r="I346" s="194"/>
      <c r="J346" s="120"/>
      <c r="K346" s="120"/>
      <c r="L346" s="10"/>
      <c r="Z346" s="122"/>
    </row>
    <row r="347">
      <c r="A347" s="10"/>
      <c r="B347" s="10"/>
      <c r="C347" s="10"/>
      <c r="D347" s="10"/>
      <c r="E347" s="10"/>
      <c r="F347" s="10"/>
      <c r="G347" s="120"/>
      <c r="H347" s="194"/>
      <c r="I347" s="194"/>
      <c r="J347" s="120"/>
      <c r="K347" s="120"/>
      <c r="L347" s="10"/>
      <c r="Z347" s="122"/>
    </row>
    <row r="348">
      <c r="A348" s="10"/>
      <c r="B348" s="10"/>
      <c r="C348" s="10"/>
      <c r="D348" s="10"/>
      <c r="E348" s="10"/>
      <c r="F348" s="10"/>
      <c r="G348" s="120"/>
      <c r="H348" s="194"/>
      <c r="I348" s="194"/>
      <c r="J348" s="120"/>
      <c r="K348" s="120"/>
      <c r="L348" s="10"/>
      <c r="Z348" s="122"/>
    </row>
    <row r="349">
      <c r="A349" s="10"/>
      <c r="B349" s="10"/>
      <c r="C349" s="10"/>
      <c r="D349" s="10"/>
      <c r="E349" s="10"/>
      <c r="F349" s="10"/>
      <c r="G349" s="120"/>
      <c r="H349" s="194"/>
      <c r="I349" s="194"/>
      <c r="J349" s="120"/>
      <c r="K349" s="120"/>
      <c r="L349" s="10"/>
      <c r="Z349" s="122"/>
    </row>
    <row r="350">
      <c r="A350" s="10"/>
      <c r="B350" s="10"/>
      <c r="C350" s="10"/>
      <c r="D350" s="10"/>
      <c r="E350" s="10"/>
      <c r="F350" s="10"/>
      <c r="G350" s="120"/>
      <c r="H350" s="194"/>
      <c r="I350" s="194"/>
      <c r="J350" s="120"/>
      <c r="K350" s="120"/>
      <c r="L350" s="10"/>
      <c r="Z350" s="122"/>
    </row>
    <row r="351">
      <c r="A351" s="10"/>
      <c r="B351" s="10"/>
      <c r="C351" s="10"/>
      <c r="D351" s="10"/>
      <c r="E351" s="10"/>
      <c r="F351" s="10"/>
      <c r="G351" s="120"/>
      <c r="H351" s="194"/>
      <c r="I351" s="194"/>
      <c r="J351" s="120"/>
      <c r="K351" s="120"/>
      <c r="L351" s="10"/>
      <c r="Z351" s="122"/>
    </row>
    <row r="352">
      <c r="A352" s="10"/>
      <c r="B352" s="10"/>
      <c r="C352" s="10"/>
      <c r="D352" s="10"/>
      <c r="E352" s="10"/>
      <c r="F352" s="10"/>
      <c r="G352" s="120"/>
      <c r="H352" s="194"/>
      <c r="I352" s="194"/>
      <c r="J352" s="120"/>
      <c r="K352" s="120"/>
      <c r="L352" s="10"/>
      <c r="Z352" s="122"/>
    </row>
    <row r="353">
      <c r="A353" s="10"/>
      <c r="B353" s="10"/>
      <c r="C353" s="10"/>
      <c r="D353" s="10"/>
      <c r="E353" s="10"/>
      <c r="F353" s="10"/>
      <c r="G353" s="120"/>
      <c r="H353" s="194"/>
      <c r="I353" s="194"/>
      <c r="J353" s="120"/>
      <c r="K353" s="120"/>
      <c r="L353" s="10"/>
      <c r="Z353" s="122"/>
    </row>
    <row r="354">
      <c r="A354" s="10"/>
      <c r="B354" s="10"/>
      <c r="C354" s="10"/>
      <c r="D354" s="10"/>
      <c r="E354" s="10"/>
      <c r="F354" s="10"/>
      <c r="G354" s="120"/>
      <c r="H354" s="194"/>
      <c r="I354" s="194"/>
      <c r="J354" s="120"/>
      <c r="K354" s="120"/>
      <c r="L354" s="10"/>
      <c r="Z354" s="122"/>
    </row>
    <row r="355">
      <c r="A355" s="10"/>
      <c r="B355" s="10"/>
      <c r="C355" s="10"/>
      <c r="D355" s="10"/>
      <c r="E355" s="10"/>
      <c r="F355" s="10"/>
      <c r="G355" s="120"/>
      <c r="H355" s="194"/>
      <c r="I355" s="194"/>
      <c r="J355" s="120"/>
      <c r="K355" s="120"/>
      <c r="L355" s="10"/>
      <c r="Z355" s="122"/>
    </row>
    <row r="356">
      <c r="A356" s="10"/>
      <c r="B356" s="10"/>
      <c r="C356" s="10"/>
      <c r="D356" s="10"/>
      <c r="E356" s="10"/>
      <c r="F356" s="10"/>
      <c r="G356" s="120"/>
      <c r="H356" s="194"/>
      <c r="I356" s="194"/>
      <c r="J356" s="120"/>
      <c r="K356" s="120"/>
      <c r="L356" s="10"/>
      <c r="Z356" s="122"/>
    </row>
    <row r="357">
      <c r="A357" s="10"/>
      <c r="B357" s="10"/>
      <c r="C357" s="10"/>
      <c r="D357" s="10"/>
      <c r="E357" s="10"/>
      <c r="F357" s="10"/>
      <c r="G357" s="120"/>
      <c r="H357" s="194"/>
      <c r="I357" s="194"/>
      <c r="J357" s="120"/>
      <c r="K357" s="120"/>
      <c r="L357" s="10"/>
      <c r="Z357" s="122"/>
    </row>
    <row r="358">
      <c r="A358" s="10"/>
      <c r="B358" s="10"/>
      <c r="C358" s="10"/>
      <c r="D358" s="10"/>
      <c r="E358" s="10"/>
      <c r="F358" s="10"/>
      <c r="G358" s="120"/>
      <c r="H358" s="194"/>
      <c r="I358" s="194"/>
      <c r="J358" s="120"/>
      <c r="K358" s="120"/>
      <c r="L358" s="10"/>
      <c r="Z358" s="122"/>
    </row>
    <row r="359">
      <c r="A359" s="10"/>
      <c r="B359" s="10"/>
      <c r="C359" s="10"/>
      <c r="D359" s="10"/>
      <c r="E359" s="10"/>
      <c r="F359" s="10"/>
      <c r="G359" s="120"/>
      <c r="H359" s="194"/>
      <c r="I359" s="194"/>
      <c r="J359" s="120"/>
      <c r="K359" s="120"/>
      <c r="L359" s="10"/>
      <c r="Z359" s="122"/>
    </row>
    <row r="360">
      <c r="A360" s="10"/>
      <c r="B360" s="10"/>
      <c r="C360" s="10"/>
      <c r="D360" s="10"/>
      <c r="E360" s="10"/>
      <c r="F360" s="10"/>
      <c r="G360" s="120"/>
      <c r="H360" s="194"/>
      <c r="I360" s="194"/>
      <c r="J360" s="120"/>
      <c r="K360" s="120"/>
      <c r="L360" s="10"/>
      <c r="Z360" s="122"/>
    </row>
    <row r="361">
      <c r="A361" s="10"/>
      <c r="B361" s="10"/>
      <c r="C361" s="10"/>
      <c r="D361" s="10"/>
      <c r="E361" s="10"/>
      <c r="F361" s="10"/>
      <c r="G361" s="120"/>
      <c r="H361" s="194"/>
      <c r="I361" s="194"/>
      <c r="J361" s="120"/>
      <c r="K361" s="120"/>
      <c r="L361" s="10"/>
      <c r="Z361" s="122"/>
    </row>
    <row r="362">
      <c r="A362" s="10"/>
      <c r="B362" s="10"/>
      <c r="C362" s="10"/>
      <c r="D362" s="10"/>
      <c r="E362" s="10"/>
      <c r="F362" s="10"/>
      <c r="G362" s="120"/>
      <c r="H362" s="194"/>
      <c r="I362" s="194"/>
      <c r="J362" s="120"/>
      <c r="K362" s="120"/>
      <c r="L362" s="10"/>
      <c r="Z362" s="122"/>
    </row>
    <row r="363">
      <c r="A363" s="10"/>
      <c r="B363" s="10"/>
      <c r="C363" s="10"/>
      <c r="D363" s="10"/>
      <c r="E363" s="10"/>
      <c r="F363" s="10"/>
      <c r="G363" s="120"/>
      <c r="H363" s="194"/>
      <c r="I363" s="194"/>
      <c r="J363" s="120"/>
      <c r="K363" s="120"/>
      <c r="L363" s="10"/>
      <c r="Z363" s="122"/>
    </row>
    <row r="364">
      <c r="A364" s="10"/>
      <c r="B364" s="10"/>
      <c r="C364" s="10"/>
      <c r="D364" s="10"/>
      <c r="E364" s="10"/>
      <c r="F364" s="10"/>
      <c r="G364" s="120"/>
      <c r="H364" s="194"/>
      <c r="I364" s="194"/>
      <c r="J364" s="120"/>
      <c r="K364" s="120"/>
      <c r="L364" s="10"/>
      <c r="Z364" s="122"/>
    </row>
    <row r="365">
      <c r="A365" s="10"/>
      <c r="B365" s="10"/>
      <c r="C365" s="10"/>
      <c r="D365" s="10"/>
      <c r="E365" s="10"/>
      <c r="F365" s="10"/>
      <c r="G365" s="120"/>
      <c r="H365" s="194"/>
      <c r="I365" s="194"/>
      <c r="J365" s="120"/>
      <c r="K365" s="120"/>
      <c r="L365" s="10"/>
      <c r="Z365" s="122"/>
    </row>
    <row r="366">
      <c r="A366" s="10"/>
      <c r="B366" s="10"/>
      <c r="C366" s="10"/>
      <c r="D366" s="10"/>
      <c r="E366" s="10"/>
      <c r="F366" s="10"/>
      <c r="G366" s="120"/>
      <c r="H366" s="194"/>
      <c r="I366" s="194"/>
      <c r="J366" s="120"/>
      <c r="K366" s="120"/>
      <c r="L366" s="10"/>
      <c r="Z366" s="122"/>
    </row>
    <row r="367">
      <c r="A367" s="10"/>
      <c r="B367" s="10"/>
      <c r="C367" s="10"/>
      <c r="D367" s="10"/>
      <c r="E367" s="10"/>
      <c r="F367" s="10"/>
      <c r="G367" s="120"/>
      <c r="H367" s="194"/>
      <c r="I367" s="194"/>
      <c r="J367" s="120"/>
      <c r="K367" s="120"/>
      <c r="L367" s="10"/>
      <c r="Z367" s="122"/>
    </row>
    <row r="368">
      <c r="A368" s="10"/>
      <c r="B368" s="10"/>
      <c r="C368" s="10"/>
      <c r="D368" s="10"/>
      <c r="E368" s="10"/>
      <c r="F368" s="10"/>
      <c r="G368" s="120"/>
      <c r="H368" s="194"/>
      <c r="I368" s="194"/>
      <c r="J368" s="120"/>
      <c r="K368" s="120"/>
      <c r="L368" s="10"/>
      <c r="Z368" s="122"/>
    </row>
    <row r="369">
      <c r="A369" s="10"/>
      <c r="B369" s="10"/>
      <c r="C369" s="10"/>
      <c r="D369" s="10"/>
      <c r="E369" s="10"/>
      <c r="F369" s="10"/>
      <c r="G369" s="120"/>
      <c r="H369" s="194"/>
      <c r="I369" s="194"/>
      <c r="J369" s="120"/>
      <c r="K369" s="120"/>
      <c r="L369" s="10"/>
      <c r="Z369" s="122"/>
    </row>
    <row r="370">
      <c r="A370" s="10"/>
      <c r="B370" s="10"/>
      <c r="C370" s="10"/>
      <c r="D370" s="10"/>
      <c r="E370" s="10"/>
      <c r="F370" s="10"/>
      <c r="G370" s="120"/>
      <c r="H370" s="194"/>
      <c r="I370" s="194"/>
      <c r="J370" s="120"/>
      <c r="K370" s="120"/>
      <c r="L370" s="10"/>
      <c r="Z370" s="122"/>
    </row>
    <row r="371">
      <c r="A371" s="10"/>
      <c r="B371" s="10"/>
      <c r="C371" s="10"/>
      <c r="D371" s="10"/>
      <c r="E371" s="10"/>
      <c r="F371" s="10"/>
      <c r="G371" s="120"/>
      <c r="H371" s="194"/>
      <c r="I371" s="194"/>
      <c r="J371" s="120"/>
      <c r="K371" s="120"/>
      <c r="L371" s="10"/>
      <c r="Z371" s="122"/>
    </row>
    <row r="372">
      <c r="A372" s="10"/>
      <c r="B372" s="10"/>
      <c r="C372" s="10"/>
      <c r="D372" s="10"/>
      <c r="E372" s="10"/>
      <c r="F372" s="10"/>
      <c r="G372" s="120"/>
      <c r="H372" s="194"/>
      <c r="I372" s="194"/>
      <c r="J372" s="120"/>
      <c r="K372" s="120"/>
      <c r="L372" s="10"/>
      <c r="Z372" s="122"/>
    </row>
    <row r="373">
      <c r="A373" s="10"/>
      <c r="B373" s="10"/>
      <c r="C373" s="10"/>
      <c r="D373" s="10"/>
      <c r="E373" s="10"/>
      <c r="F373" s="10"/>
      <c r="G373" s="120"/>
      <c r="H373" s="194"/>
      <c r="I373" s="194"/>
      <c r="J373" s="120"/>
      <c r="K373" s="120"/>
      <c r="L373" s="10"/>
      <c r="Z373" s="122"/>
    </row>
    <row r="374">
      <c r="A374" s="10"/>
      <c r="B374" s="10"/>
      <c r="C374" s="10"/>
      <c r="D374" s="10"/>
      <c r="E374" s="10"/>
      <c r="F374" s="10"/>
      <c r="G374" s="120"/>
      <c r="H374" s="194"/>
      <c r="I374" s="194"/>
      <c r="J374" s="120"/>
      <c r="K374" s="120"/>
      <c r="L374" s="10"/>
      <c r="Z374" s="122"/>
    </row>
    <row r="375">
      <c r="A375" s="10"/>
      <c r="B375" s="10"/>
      <c r="C375" s="10"/>
      <c r="D375" s="10"/>
      <c r="E375" s="10"/>
      <c r="F375" s="10"/>
      <c r="G375" s="120"/>
      <c r="H375" s="194"/>
      <c r="I375" s="194"/>
      <c r="J375" s="120"/>
      <c r="K375" s="120"/>
      <c r="L375" s="10"/>
      <c r="Z375" s="122"/>
    </row>
    <row r="376">
      <c r="A376" s="10"/>
      <c r="B376" s="10"/>
      <c r="C376" s="10"/>
      <c r="D376" s="10"/>
      <c r="E376" s="10"/>
      <c r="F376" s="10"/>
      <c r="G376" s="120"/>
      <c r="H376" s="194"/>
      <c r="I376" s="194"/>
      <c r="J376" s="120"/>
      <c r="K376" s="120"/>
      <c r="L376" s="10"/>
      <c r="Z376" s="122"/>
    </row>
    <row r="377">
      <c r="A377" s="10"/>
      <c r="B377" s="10"/>
      <c r="C377" s="10"/>
      <c r="D377" s="10"/>
      <c r="E377" s="10"/>
      <c r="F377" s="10"/>
      <c r="G377" s="120"/>
      <c r="H377" s="194"/>
      <c r="I377" s="194"/>
      <c r="J377" s="120"/>
      <c r="K377" s="120"/>
      <c r="L377" s="10"/>
      <c r="Z377" s="122"/>
    </row>
    <row r="378">
      <c r="A378" s="10"/>
      <c r="B378" s="10"/>
      <c r="C378" s="10"/>
      <c r="D378" s="10"/>
      <c r="E378" s="10"/>
      <c r="F378" s="10"/>
      <c r="G378" s="120"/>
      <c r="H378" s="194"/>
      <c r="I378" s="194"/>
      <c r="J378" s="120"/>
      <c r="K378" s="120"/>
      <c r="L378" s="10"/>
      <c r="Z378" s="122"/>
    </row>
    <row r="379">
      <c r="A379" s="10"/>
      <c r="B379" s="10"/>
      <c r="C379" s="10"/>
      <c r="D379" s="10"/>
      <c r="E379" s="10"/>
      <c r="F379" s="10"/>
      <c r="G379" s="120"/>
      <c r="H379" s="194"/>
      <c r="I379" s="194"/>
      <c r="J379" s="120"/>
      <c r="K379" s="120"/>
      <c r="L379" s="10"/>
      <c r="Z379" s="122"/>
    </row>
    <row r="380">
      <c r="A380" s="10"/>
      <c r="B380" s="10"/>
      <c r="C380" s="10"/>
      <c r="D380" s="10"/>
      <c r="E380" s="10"/>
      <c r="F380" s="10"/>
      <c r="G380" s="120"/>
      <c r="H380" s="194"/>
      <c r="I380" s="194"/>
      <c r="J380" s="120"/>
      <c r="K380" s="120"/>
      <c r="L380" s="10"/>
      <c r="Z380" s="122"/>
    </row>
    <row r="381">
      <c r="A381" s="10"/>
      <c r="B381" s="10"/>
      <c r="C381" s="10"/>
      <c r="D381" s="10"/>
      <c r="E381" s="10"/>
      <c r="F381" s="10"/>
      <c r="G381" s="120"/>
      <c r="H381" s="194"/>
      <c r="I381" s="194"/>
      <c r="J381" s="120"/>
      <c r="K381" s="120"/>
      <c r="L381" s="10"/>
      <c r="Z381" s="122"/>
    </row>
    <row r="382">
      <c r="A382" s="10"/>
      <c r="B382" s="10"/>
      <c r="C382" s="10"/>
      <c r="D382" s="10"/>
      <c r="E382" s="10"/>
      <c r="F382" s="10"/>
      <c r="G382" s="120"/>
      <c r="H382" s="194"/>
      <c r="I382" s="194"/>
      <c r="J382" s="120"/>
      <c r="K382" s="120"/>
      <c r="L382" s="10"/>
      <c r="Z382" s="122"/>
    </row>
    <row r="383">
      <c r="A383" s="10"/>
      <c r="B383" s="10"/>
      <c r="C383" s="10"/>
      <c r="D383" s="10"/>
      <c r="E383" s="10"/>
      <c r="F383" s="10"/>
      <c r="G383" s="120"/>
      <c r="H383" s="194"/>
      <c r="I383" s="194"/>
      <c r="J383" s="120"/>
      <c r="K383" s="120"/>
      <c r="L383" s="10"/>
      <c r="Z383" s="122"/>
    </row>
    <row r="384">
      <c r="A384" s="10"/>
      <c r="B384" s="10"/>
      <c r="C384" s="10"/>
      <c r="D384" s="10"/>
      <c r="E384" s="10"/>
      <c r="F384" s="10"/>
      <c r="G384" s="120"/>
      <c r="H384" s="194"/>
      <c r="I384" s="194"/>
      <c r="J384" s="120"/>
      <c r="K384" s="120"/>
      <c r="L384" s="10"/>
      <c r="Z384" s="122"/>
    </row>
    <row r="385">
      <c r="A385" s="10"/>
      <c r="B385" s="10"/>
      <c r="C385" s="10"/>
      <c r="D385" s="10"/>
      <c r="E385" s="10"/>
      <c r="F385" s="10"/>
      <c r="G385" s="120"/>
      <c r="H385" s="194"/>
      <c r="I385" s="194"/>
      <c r="J385" s="120"/>
      <c r="K385" s="120"/>
      <c r="L385" s="10"/>
      <c r="Z385" s="122"/>
    </row>
    <row r="386">
      <c r="A386" s="10"/>
      <c r="B386" s="10"/>
      <c r="C386" s="10"/>
      <c r="D386" s="10"/>
      <c r="E386" s="10"/>
      <c r="F386" s="10"/>
      <c r="G386" s="120"/>
      <c r="H386" s="194"/>
      <c r="I386" s="194"/>
      <c r="J386" s="120"/>
      <c r="K386" s="120"/>
      <c r="L386" s="10"/>
      <c r="Z386" s="122"/>
    </row>
    <row r="387">
      <c r="A387" s="10"/>
      <c r="B387" s="10"/>
      <c r="C387" s="10"/>
      <c r="D387" s="10"/>
      <c r="E387" s="10"/>
      <c r="F387" s="10"/>
      <c r="G387" s="120"/>
      <c r="H387" s="194"/>
      <c r="I387" s="194"/>
      <c r="J387" s="120"/>
      <c r="K387" s="120"/>
      <c r="L387" s="10"/>
      <c r="Z387" s="122"/>
    </row>
    <row r="388">
      <c r="A388" s="10"/>
      <c r="B388" s="10"/>
      <c r="C388" s="10"/>
      <c r="D388" s="10"/>
      <c r="E388" s="10"/>
      <c r="F388" s="10"/>
      <c r="G388" s="120"/>
      <c r="H388" s="194"/>
      <c r="I388" s="194"/>
      <c r="J388" s="120"/>
      <c r="K388" s="120"/>
      <c r="L388" s="10"/>
      <c r="Z388" s="122"/>
    </row>
    <row r="389">
      <c r="A389" s="10"/>
      <c r="B389" s="10"/>
      <c r="C389" s="10"/>
      <c r="D389" s="10"/>
      <c r="E389" s="10"/>
      <c r="F389" s="10"/>
      <c r="G389" s="120"/>
      <c r="H389" s="194"/>
      <c r="I389" s="194"/>
      <c r="J389" s="120"/>
      <c r="K389" s="120"/>
      <c r="L389" s="10"/>
      <c r="Z389" s="122"/>
    </row>
    <row r="390">
      <c r="A390" s="10"/>
      <c r="B390" s="10"/>
      <c r="C390" s="10"/>
      <c r="D390" s="10"/>
      <c r="E390" s="10"/>
      <c r="F390" s="10"/>
      <c r="G390" s="120"/>
      <c r="H390" s="194"/>
      <c r="I390" s="194"/>
      <c r="J390" s="120"/>
      <c r="K390" s="120"/>
      <c r="L390" s="10"/>
      <c r="Z390" s="122"/>
    </row>
    <row r="391">
      <c r="A391" s="10"/>
      <c r="B391" s="10"/>
      <c r="C391" s="10"/>
      <c r="D391" s="10"/>
      <c r="E391" s="10"/>
      <c r="F391" s="10"/>
      <c r="G391" s="120"/>
      <c r="H391" s="194"/>
      <c r="I391" s="194"/>
      <c r="J391" s="120"/>
      <c r="K391" s="120"/>
      <c r="L391" s="10"/>
      <c r="Z391" s="122"/>
    </row>
    <row r="392">
      <c r="A392" s="10"/>
      <c r="B392" s="10"/>
      <c r="C392" s="10"/>
      <c r="D392" s="10"/>
      <c r="E392" s="10"/>
      <c r="F392" s="10"/>
      <c r="G392" s="120"/>
      <c r="H392" s="194"/>
      <c r="I392" s="194"/>
      <c r="J392" s="120"/>
      <c r="K392" s="120"/>
      <c r="L392" s="10"/>
      <c r="Z392" s="122"/>
    </row>
    <row r="393">
      <c r="A393" s="10"/>
      <c r="B393" s="10"/>
      <c r="C393" s="10"/>
      <c r="D393" s="10"/>
      <c r="E393" s="10"/>
      <c r="F393" s="10"/>
      <c r="G393" s="120"/>
      <c r="H393" s="194"/>
      <c r="I393" s="194"/>
      <c r="J393" s="120"/>
      <c r="K393" s="120"/>
      <c r="L393" s="10"/>
      <c r="Z393" s="122"/>
    </row>
    <row r="394">
      <c r="A394" s="10"/>
      <c r="B394" s="10"/>
      <c r="C394" s="10"/>
      <c r="D394" s="10"/>
      <c r="E394" s="10"/>
      <c r="F394" s="10"/>
      <c r="G394" s="120"/>
      <c r="H394" s="194"/>
      <c r="I394" s="194"/>
      <c r="J394" s="120"/>
      <c r="K394" s="120"/>
      <c r="L394" s="10"/>
      <c r="Z394" s="122"/>
    </row>
    <row r="395">
      <c r="A395" s="10"/>
      <c r="B395" s="10"/>
      <c r="C395" s="10"/>
      <c r="D395" s="10"/>
      <c r="E395" s="10"/>
      <c r="F395" s="10"/>
      <c r="G395" s="120"/>
      <c r="H395" s="194"/>
      <c r="I395" s="194"/>
      <c r="J395" s="120"/>
      <c r="K395" s="120"/>
      <c r="L395" s="10"/>
      <c r="Z395" s="122"/>
    </row>
    <row r="396">
      <c r="A396" s="10"/>
      <c r="B396" s="10"/>
      <c r="C396" s="10"/>
      <c r="D396" s="10"/>
      <c r="E396" s="10"/>
      <c r="F396" s="10"/>
      <c r="G396" s="120"/>
      <c r="H396" s="194"/>
      <c r="I396" s="194"/>
      <c r="J396" s="120"/>
      <c r="K396" s="120"/>
      <c r="L396" s="10"/>
      <c r="Z396" s="122"/>
    </row>
    <row r="397">
      <c r="A397" s="10"/>
      <c r="B397" s="10"/>
      <c r="C397" s="10"/>
      <c r="D397" s="10"/>
      <c r="E397" s="10"/>
      <c r="F397" s="10"/>
      <c r="G397" s="120"/>
      <c r="H397" s="194"/>
      <c r="I397" s="194"/>
      <c r="J397" s="120"/>
      <c r="K397" s="120"/>
      <c r="L397" s="10"/>
      <c r="Z397" s="122"/>
    </row>
    <row r="398">
      <c r="A398" s="10"/>
      <c r="B398" s="10"/>
      <c r="C398" s="10"/>
      <c r="D398" s="10"/>
      <c r="E398" s="10"/>
      <c r="F398" s="10"/>
      <c r="G398" s="120"/>
      <c r="H398" s="194"/>
      <c r="I398" s="194"/>
      <c r="J398" s="120"/>
      <c r="K398" s="120"/>
      <c r="L398" s="10"/>
      <c r="Z398" s="122"/>
    </row>
    <row r="399">
      <c r="A399" s="10"/>
      <c r="B399" s="10"/>
      <c r="C399" s="10"/>
      <c r="D399" s="10"/>
      <c r="E399" s="10"/>
      <c r="F399" s="10"/>
      <c r="G399" s="120"/>
      <c r="H399" s="194"/>
      <c r="I399" s="194"/>
      <c r="J399" s="120"/>
      <c r="K399" s="120"/>
      <c r="L399" s="10"/>
      <c r="Z399" s="122"/>
    </row>
    <row r="400">
      <c r="A400" s="10"/>
      <c r="B400" s="10"/>
      <c r="C400" s="10"/>
      <c r="D400" s="10"/>
      <c r="E400" s="10"/>
      <c r="F400" s="10"/>
      <c r="G400" s="120"/>
      <c r="H400" s="194"/>
      <c r="I400" s="194"/>
      <c r="J400" s="120"/>
      <c r="K400" s="120"/>
      <c r="L400" s="10"/>
      <c r="Z400" s="122"/>
    </row>
    <row r="401">
      <c r="A401" s="10"/>
      <c r="B401" s="10"/>
      <c r="C401" s="10"/>
      <c r="D401" s="10"/>
      <c r="E401" s="10"/>
      <c r="F401" s="10"/>
      <c r="G401" s="120"/>
      <c r="H401" s="194"/>
      <c r="I401" s="194"/>
      <c r="J401" s="120"/>
      <c r="K401" s="120"/>
      <c r="L401" s="10"/>
      <c r="Z401" s="122"/>
    </row>
    <row r="402">
      <c r="A402" s="10"/>
      <c r="B402" s="10"/>
      <c r="C402" s="10"/>
      <c r="D402" s="10"/>
      <c r="E402" s="10"/>
      <c r="F402" s="10"/>
      <c r="G402" s="120"/>
      <c r="H402" s="194"/>
      <c r="I402" s="194"/>
      <c r="J402" s="120"/>
      <c r="K402" s="120"/>
      <c r="L402" s="10"/>
      <c r="Z402" s="122"/>
    </row>
    <row r="403">
      <c r="A403" s="10"/>
      <c r="B403" s="10"/>
      <c r="C403" s="10"/>
      <c r="D403" s="10"/>
      <c r="E403" s="10"/>
      <c r="F403" s="10"/>
      <c r="G403" s="120"/>
      <c r="H403" s="194"/>
      <c r="I403" s="194"/>
      <c r="J403" s="120"/>
      <c r="K403" s="120"/>
      <c r="L403" s="10"/>
      <c r="Z403" s="122"/>
    </row>
    <row r="404">
      <c r="A404" s="10"/>
      <c r="B404" s="10"/>
      <c r="C404" s="10"/>
      <c r="D404" s="10"/>
      <c r="E404" s="10"/>
      <c r="F404" s="10"/>
      <c r="G404" s="120"/>
      <c r="H404" s="194"/>
      <c r="I404" s="194"/>
      <c r="J404" s="120"/>
      <c r="K404" s="120"/>
      <c r="L404" s="10"/>
      <c r="Z404" s="122"/>
    </row>
    <row r="405">
      <c r="A405" s="10"/>
      <c r="B405" s="10"/>
      <c r="C405" s="10"/>
      <c r="D405" s="10"/>
      <c r="E405" s="10"/>
      <c r="F405" s="10"/>
      <c r="G405" s="120"/>
      <c r="H405" s="194"/>
      <c r="I405" s="194"/>
      <c r="J405" s="120"/>
      <c r="K405" s="120"/>
      <c r="L405" s="10"/>
      <c r="Z405" s="122"/>
    </row>
    <row r="406">
      <c r="A406" s="10"/>
      <c r="B406" s="10"/>
      <c r="C406" s="10"/>
      <c r="D406" s="10"/>
      <c r="E406" s="10"/>
      <c r="F406" s="10"/>
      <c r="G406" s="120"/>
      <c r="H406" s="194"/>
      <c r="I406" s="194"/>
      <c r="J406" s="120"/>
      <c r="K406" s="120"/>
      <c r="L406" s="10"/>
      <c r="Z406" s="122"/>
    </row>
    <row r="407">
      <c r="A407" s="10"/>
      <c r="B407" s="10"/>
      <c r="C407" s="10"/>
      <c r="D407" s="10"/>
      <c r="E407" s="10"/>
      <c r="F407" s="10"/>
      <c r="G407" s="120"/>
      <c r="H407" s="194"/>
      <c r="I407" s="194"/>
      <c r="J407" s="120"/>
      <c r="K407" s="120"/>
      <c r="L407" s="10"/>
      <c r="Z407" s="122"/>
    </row>
    <row r="408">
      <c r="A408" s="10"/>
      <c r="B408" s="10"/>
      <c r="C408" s="10"/>
      <c r="D408" s="10"/>
      <c r="E408" s="10"/>
      <c r="F408" s="10"/>
      <c r="G408" s="120"/>
      <c r="H408" s="194"/>
      <c r="I408" s="194"/>
      <c r="J408" s="120"/>
      <c r="K408" s="120"/>
      <c r="L408" s="10"/>
      <c r="Z408" s="122"/>
    </row>
    <row r="409">
      <c r="A409" s="10"/>
      <c r="B409" s="10"/>
      <c r="C409" s="10"/>
      <c r="D409" s="10"/>
      <c r="E409" s="10"/>
      <c r="F409" s="10"/>
      <c r="G409" s="120"/>
      <c r="H409" s="194"/>
      <c r="I409" s="194"/>
      <c r="J409" s="120"/>
      <c r="K409" s="120"/>
      <c r="L409" s="10"/>
      <c r="Z409" s="122"/>
    </row>
    <row r="410">
      <c r="A410" s="10"/>
      <c r="B410" s="10"/>
      <c r="C410" s="10"/>
      <c r="D410" s="10"/>
      <c r="E410" s="10"/>
      <c r="F410" s="10"/>
      <c r="G410" s="120"/>
      <c r="H410" s="194"/>
      <c r="I410" s="194"/>
      <c r="J410" s="120"/>
      <c r="K410" s="120"/>
      <c r="L410" s="10"/>
      <c r="Z410" s="122"/>
    </row>
    <row r="411">
      <c r="A411" s="10"/>
      <c r="B411" s="10"/>
      <c r="C411" s="10"/>
      <c r="D411" s="10"/>
      <c r="E411" s="10"/>
      <c r="F411" s="10"/>
      <c r="G411" s="120"/>
      <c r="H411" s="194"/>
      <c r="I411" s="194"/>
      <c r="J411" s="120"/>
      <c r="K411" s="120"/>
      <c r="L411" s="10"/>
      <c r="Z411" s="122"/>
    </row>
    <row r="412">
      <c r="A412" s="10"/>
      <c r="B412" s="10"/>
      <c r="C412" s="10"/>
      <c r="D412" s="10"/>
      <c r="E412" s="10"/>
      <c r="F412" s="10"/>
      <c r="G412" s="120"/>
      <c r="H412" s="194"/>
      <c r="I412" s="194"/>
      <c r="J412" s="120"/>
      <c r="K412" s="120"/>
      <c r="L412" s="10"/>
      <c r="Z412" s="122"/>
    </row>
    <row r="413">
      <c r="A413" s="10"/>
      <c r="B413" s="10"/>
      <c r="C413" s="10"/>
      <c r="D413" s="10"/>
      <c r="E413" s="10"/>
      <c r="F413" s="10"/>
      <c r="G413" s="120"/>
      <c r="H413" s="194"/>
      <c r="I413" s="194"/>
      <c r="J413" s="120"/>
      <c r="K413" s="120"/>
      <c r="L413" s="10"/>
      <c r="Z413" s="122"/>
    </row>
    <row r="414">
      <c r="A414" s="10"/>
      <c r="B414" s="10"/>
      <c r="C414" s="10"/>
      <c r="D414" s="10"/>
      <c r="E414" s="10"/>
      <c r="F414" s="10"/>
      <c r="G414" s="120"/>
      <c r="H414" s="194"/>
      <c r="I414" s="194"/>
      <c r="J414" s="120"/>
      <c r="K414" s="120"/>
      <c r="L414" s="10"/>
      <c r="Z414" s="122"/>
    </row>
    <row r="415">
      <c r="A415" s="10"/>
      <c r="B415" s="10"/>
      <c r="C415" s="10"/>
      <c r="D415" s="10"/>
      <c r="E415" s="10"/>
      <c r="F415" s="10"/>
      <c r="G415" s="120"/>
      <c r="H415" s="194"/>
      <c r="I415" s="194"/>
      <c r="J415" s="120"/>
      <c r="K415" s="120"/>
      <c r="L415" s="10"/>
      <c r="Z415" s="122"/>
    </row>
    <row r="416">
      <c r="A416" s="10"/>
      <c r="B416" s="10"/>
      <c r="C416" s="10"/>
      <c r="D416" s="10"/>
      <c r="E416" s="10"/>
      <c r="F416" s="10"/>
      <c r="G416" s="120"/>
      <c r="H416" s="194"/>
      <c r="I416" s="194"/>
      <c r="J416" s="120"/>
      <c r="K416" s="120"/>
      <c r="L416" s="10"/>
      <c r="Z416" s="122"/>
    </row>
    <row r="417">
      <c r="A417" s="10"/>
      <c r="B417" s="10"/>
      <c r="C417" s="10"/>
      <c r="D417" s="10"/>
      <c r="E417" s="10"/>
      <c r="F417" s="10"/>
      <c r="G417" s="120"/>
      <c r="H417" s="194"/>
      <c r="I417" s="194"/>
      <c r="J417" s="120"/>
      <c r="K417" s="120"/>
      <c r="L417" s="10"/>
      <c r="Z417" s="122"/>
    </row>
    <row r="418">
      <c r="A418" s="10"/>
      <c r="B418" s="10"/>
      <c r="C418" s="10"/>
      <c r="D418" s="10"/>
      <c r="E418" s="10"/>
      <c r="F418" s="10"/>
      <c r="G418" s="120"/>
      <c r="H418" s="194"/>
      <c r="I418" s="194"/>
      <c r="J418" s="120"/>
      <c r="K418" s="120"/>
      <c r="L418" s="10"/>
      <c r="Z418" s="122"/>
    </row>
    <row r="419">
      <c r="A419" s="10"/>
      <c r="B419" s="10"/>
      <c r="C419" s="10"/>
      <c r="D419" s="10"/>
      <c r="E419" s="10"/>
      <c r="F419" s="10"/>
      <c r="G419" s="120"/>
      <c r="H419" s="194"/>
      <c r="I419" s="194"/>
      <c r="J419" s="120"/>
      <c r="K419" s="120"/>
      <c r="L419" s="10"/>
      <c r="Z419" s="122"/>
    </row>
    <row r="420">
      <c r="A420" s="10"/>
      <c r="B420" s="10"/>
      <c r="C420" s="10"/>
      <c r="D420" s="10"/>
      <c r="E420" s="10"/>
      <c r="F420" s="10"/>
      <c r="G420" s="120"/>
      <c r="H420" s="194"/>
      <c r="I420" s="194"/>
      <c r="J420" s="120"/>
      <c r="K420" s="120"/>
      <c r="L420" s="10"/>
      <c r="Z420" s="122"/>
    </row>
    <row r="421">
      <c r="A421" s="10"/>
      <c r="B421" s="10"/>
      <c r="C421" s="10"/>
      <c r="D421" s="10"/>
      <c r="E421" s="10"/>
      <c r="F421" s="10"/>
      <c r="G421" s="120"/>
      <c r="H421" s="194"/>
      <c r="I421" s="194"/>
      <c r="J421" s="120"/>
      <c r="K421" s="120"/>
      <c r="L421" s="10"/>
      <c r="Z421" s="122"/>
    </row>
    <row r="422">
      <c r="A422" s="10"/>
      <c r="B422" s="10"/>
      <c r="C422" s="10"/>
      <c r="D422" s="10"/>
      <c r="E422" s="10"/>
      <c r="F422" s="10"/>
      <c r="G422" s="120"/>
      <c r="H422" s="194"/>
      <c r="I422" s="194"/>
      <c r="J422" s="120"/>
      <c r="K422" s="120"/>
      <c r="L422" s="10"/>
      <c r="Z422" s="122"/>
    </row>
    <row r="423">
      <c r="A423" s="10"/>
      <c r="B423" s="10"/>
      <c r="C423" s="10"/>
      <c r="D423" s="10"/>
      <c r="E423" s="10"/>
      <c r="F423" s="10"/>
      <c r="G423" s="120"/>
      <c r="H423" s="194"/>
      <c r="I423" s="194"/>
      <c r="J423" s="120"/>
      <c r="K423" s="120"/>
      <c r="L423" s="10"/>
      <c r="Z423" s="122"/>
    </row>
    <row r="424">
      <c r="A424" s="10"/>
      <c r="B424" s="10"/>
      <c r="C424" s="10"/>
      <c r="D424" s="10"/>
      <c r="E424" s="10"/>
      <c r="F424" s="10"/>
      <c r="G424" s="120"/>
      <c r="H424" s="194"/>
      <c r="I424" s="194"/>
      <c r="J424" s="120"/>
      <c r="K424" s="120"/>
      <c r="L424" s="10"/>
      <c r="Z424" s="122"/>
    </row>
    <row r="425">
      <c r="A425" s="10"/>
      <c r="B425" s="10"/>
      <c r="C425" s="10"/>
      <c r="D425" s="10"/>
      <c r="E425" s="10"/>
      <c r="F425" s="10"/>
      <c r="G425" s="120"/>
      <c r="H425" s="194"/>
      <c r="I425" s="194"/>
      <c r="J425" s="120"/>
      <c r="K425" s="120"/>
      <c r="L425" s="10"/>
      <c r="Z425" s="122"/>
    </row>
    <row r="426">
      <c r="A426" s="10"/>
      <c r="B426" s="10"/>
      <c r="C426" s="10"/>
      <c r="D426" s="10"/>
      <c r="E426" s="10"/>
      <c r="F426" s="10"/>
      <c r="G426" s="120"/>
      <c r="H426" s="194"/>
      <c r="I426" s="194"/>
      <c r="J426" s="120"/>
      <c r="K426" s="120"/>
      <c r="L426" s="10"/>
      <c r="Z426" s="122"/>
    </row>
    <row r="427">
      <c r="A427" s="10"/>
      <c r="B427" s="10"/>
      <c r="C427" s="10"/>
      <c r="D427" s="10"/>
      <c r="E427" s="10"/>
      <c r="F427" s="10"/>
      <c r="G427" s="120"/>
      <c r="H427" s="194"/>
      <c r="I427" s="194"/>
      <c r="J427" s="120"/>
      <c r="K427" s="120"/>
      <c r="L427" s="10"/>
      <c r="Z427" s="122"/>
    </row>
    <row r="428">
      <c r="A428" s="10"/>
      <c r="B428" s="10"/>
      <c r="C428" s="10"/>
      <c r="D428" s="10"/>
      <c r="E428" s="10"/>
      <c r="F428" s="10"/>
      <c r="G428" s="120"/>
      <c r="H428" s="194"/>
      <c r="I428" s="194"/>
      <c r="J428" s="120"/>
      <c r="K428" s="120"/>
      <c r="L428" s="10"/>
      <c r="Z428" s="122"/>
    </row>
    <row r="429">
      <c r="A429" s="10"/>
      <c r="B429" s="10"/>
      <c r="C429" s="10"/>
      <c r="D429" s="10"/>
      <c r="E429" s="10"/>
      <c r="F429" s="10"/>
      <c r="G429" s="120"/>
      <c r="H429" s="194"/>
      <c r="I429" s="194"/>
      <c r="J429" s="120"/>
      <c r="K429" s="120"/>
      <c r="L429" s="10"/>
      <c r="Z429" s="122"/>
    </row>
    <row r="430">
      <c r="A430" s="10"/>
      <c r="B430" s="10"/>
      <c r="C430" s="10"/>
      <c r="D430" s="10"/>
      <c r="E430" s="10"/>
      <c r="F430" s="10"/>
      <c r="G430" s="120"/>
      <c r="H430" s="194"/>
      <c r="I430" s="194"/>
      <c r="J430" s="120"/>
      <c r="K430" s="120"/>
      <c r="L430" s="10"/>
      <c r="Z430" s="122"/>
    </row>
    <row r="431">
      <c r="A431" s="10"/>
      <c r="B431" s="10"/>
      <c r="C431" s="10"/>
      <c r="D431" s="10"/>
      <c r="E431" s="10"/>
      <c r="F431" s="10"/>
      <c r="G431" s="120"/>
      <c r="H431" s="194"/>
      <c r="I431" s="194"/>
      <c r="J431" s="120"/>
      <c r="K431" s="120"/>
      <c r="L431" s="10"/>
      <c r="Z431" s="122"/>
    </row>
    <row r="432">
      <c r="A432" s="10"/>
      <c r="B432" s="10"/>
      <c r="C432" s="10"/>
      <c r="D432" s="10"/>
      <c r="E432" s="10"/>
      <c r="F432" s="10"/>
      <c r="G432" s="120"/>
      <c r="H432" s="194"/>
      <c r="I432" s="194"/>
      <c r="J432" s="120"/>
      <c r="K432" s="120"/>
      <c r="L432" s="10"/>
      <c r="Z432" s="122"/>
    </row>
    <row r="433">
      <c r="A433" s="10"/>
      <c r="B433" s="10"/>
      <c r="C433" s="10"/>
      <c r="D433" s="10"/>
      <c r="E433" s="10"/>
      <c r="F433" s="10"/>
      <c r="G433" s="120"/>
      <c r="H433" s="194"/>
      <c r="I433" s="194"/>
      <c r="J433" s="120"/>
      <c r="K433" s="120"/>
      <c r="L433" s="10"/>
      <c r="Z433" s="122"/>
    </row>
    <row r="434">
      <c r="A434" s="10"/>
      <c r="B434" s="10"/>
      <c r="C434" s="10"/>
      <c r="D434" s="10"/>
      <c r="E434" s="10"/>
      <c r="F434" s="10"/>
      <c r="G434" s="120"/>
      <c r="H434" s="194"/>
      <c r="I434" s="194"/>
      <c r="J434" s="120"/>
      <c r="K434" s="120"/>
      <c r="L434" s="10"/>
      <c r="Z434" s="122"/>
    </row>
    <row r="435">
      <c r="A435" s="10"/>
      <c r="B435" s="10"/>
      <c r="C435" s="10"/>
      <c r="D435" s="10"/>
      <c r="E435" s="10"/>
      <c r="F435" s="10"/>
      <c r="G435" s="120"/>
      <c r="H435" s="194"/>
      <c r="I435" s="194"/>
      <c r="J435" s="120"/>
      <c r="K435" s="120"/>
      <c r="L435" s="10"/>
      <c r="Z435" s="122"/>
    </row>
    <row r="436">
      <c r="A436" s="10"/>
      <c r="B436" s="10"/>
      <c r="C436" s="10"/>
      <c r="D436" s="10"/>
      <c r="E436" s="10"/>
      <c r="F436" s="10"/>
      <c r="G436" s="120"/>
      <c r="H436" s="194"/>
      <c r="I436" s="194"/>
      <c r="J436" s="120"/>
      <c r="K436" s="120"/>
      <c r="L436" s="10"/>
      <c r="Z436" s="122"/>
    </row>
    <row r="437">
      <c r="A437" s="10"/>
      <c r="B437" s="10"/>
      <c r="C437" s="10"/>
      <c r="D437" s="10"/>
      <c r="E437" s="10"/>
      <c r="F437" s="10"/>
      <c r="G437" s="120"/>
      <c r="H437" s="194"/>
      <c r="I437" s="194"/>
      <c r="J437" s="120"/>
      <c r="K437" s="120"/>
      <c r="L437" s="10"/>
      <c r="Z437" s="122"/>
    </row>
    <row r="438">
      <c r="A438" s="10"/>
      <c r="B438" s="10"/>
      <c r="C438" s="10"/>
      <c r="D438" s="10"/>
      <c r="E438" s="10"/>
      <c r="F438" s="10"/>
      <c r="G438" s="120"/>
      <c r="H438" s="194"/>
      <c r="I438" s="194"/>
      <c r="J438" s="120"/>
      <c r="K438" s="120"/>
      <c r="L438" s="10"/>
      <c r="Z438" s="122"/>
    </row>
    <row r="439">
      <c r="A439" s="10"/>
      <c r="B439" s="10"/>
      <c r="C439" s="10"/>
      <c r="D439" s="10"/>
      <c r="E439" s="10"/>
      <c r="F439" s="10"/>
      <c r="G439" s="120"/>
      <c r="H439" s="194"/>
      <c r="I439" s="194"/>
      <c r="J439" s="120"/>
      <c r="K439" s="120"/>
      <c r="L439" s="10"/>
      <c r="Z439" s="122"/>
    </row>
    <row r="440">
      <c r="A440" s="10"/>
      <c r="B440" s="10"/>
      <c r="C440" s="10"/>
      <c r="D440" s="10"/>
      <c r="E440" s="10"/>
      <c r="F440" s="10"/>
      <c r="G440" s="120"/>
      <c r="H440" s="194"/>
      <c r="I440" s="194"/>
      <c r="J440" s="120"/>
      <c r="K440" s="120"/>
      <c r="L440" s="10"/>
      <c r="Z440" s="122"/>
    </row>
    <row r="441">
      <c r="A441" s="10"/>
      <c r="B441" s="10"/>
      <c r="C441" s="10"/>
      <c r="D441" s="10"/>
      <c r="E441" s="10"/>
      <c r="F441" s="10"/>
      <c r="G441" s="120"/>
      <c r="H441" s="194"/>
      <c r="I441" s="194"/>
      <c r="J441" s="120"/>
      <c r="K441" s="120"/>
      <c r="L441" s="10"/>
      <c r="Z441" s="122"/>
    </row>
    <row r="442">
      <c r="A442" s="10"/>
      <c r="B442" s="10"/>
      <c r="C442" s="10"/>
      <c r="D442" s="10"/>
      <c r="E442" s="10"/>
      <c r="F442" s="10"/>
      <c r="G442" s="120"/>
      <c r="H442" s="194"/>
      <c r="I442" s="194"/>
      <c r="J442" s="120"/>
      <c r="K442" s="120"/>
      <c r="L442" s="10"/>
      <c r="Z442" s="122"/>
    </row>
    <row r="443">
      <c r="A443" s="10"/>
      <c r="B443" s="10"/>
      <c r="C443" s="10"/>
      <c r="D443" s="10"/>
      <c r="E443" s="10"/>
      <c r="F443" s="10"/>
      <c r="G443" s="120"/>
      <c r="H443" s="194"/>
      <c r="I443" s="194"/>
      <c r="J443" s="120"/>
      <c r="K443" s="120"/>
      <c r="L443" s="10"/>
      <c r="Z443" s="122"/>
    </row>
    <row r="444">
      <c r="A444" s="10"/>
      <c r="B444" s="10"/>
      <c r="C444" s="10"/>
      <c r="D444" s="10"/>
      <c r="E444" s="10"/>
      <c r="F444" s="10"/>
      <c r="G444" s="120"/>
      <c r="H444" s="194"/>
      <c r="I444" s="194"/>
      <c r="J444" s="120"/>
      <c r="K444" s="120"/>
      <c r="L444" s="10"/>
      <c r="Z444" s="122"/>
    </row>
    <row r="445">
      <c r="A445" s="10"/>
      <c r="B445" s="10"/>
      <c r="C445" s="10"/>
      <c r="D445" s="10"/>
      <c r="E445" s="10"/>
      <c r="F445" s="10"/>
      <c r="G445" s="120"/>
      <c r="H445" s="194"/>
      <c r="I445" s="194"/>
      <c r="J445" s="120"/>
      <c r="K445" s="120"/>
      <c r="L445" s="10"/>
      <c r="Z445" s="122"/>
    </row>
    <row r="446">
      <c r="A446" s="10"/>
      <c r="B446" s="10"/>
      <c r="C446" s="10"/>
      <c r="D446" s="10"/>
      <c r="E446" s="10"/>
      <c r="F446" s="10"/>
      <c r="G446" s="120"/>
      <c r="H446" s="194"/>
      <c r="I446" s="194"/>
      <c r="J446" s="120"/>
      <c r="K446" s="120"/>
      <c r="L446" s="10"/>
      <c r="Z446" s="122"/>
    </row>
    <row r="447">
      <c r="A447" s="10"/>
      <c r="B447" s="10"/>
      <c r="C447" s="10"/>
      <c r="D447" s="10"/>
      <c r="E447" s="10"/>
      <c r="F447" s="10"/>
      <c r="G447" s="120"/>
      <c r="H447" s="194"/>
      <c r="I447" s="194"/>
      <c r="J447" s="120"/>
      <c r="K447" s="120"/>
      <c r="L447" s="10"/>
      <c r="Z447" s="122"/>
    </row>
    <row r="448">
      <c r="A448" s="10"/>
      <c r="B448" s="10"/>
      <c r="C448" s="10"/>
      <c r="D448" s="10"/>
      <c r="E448" s="10"/>
      <c r="F448" s="10"/>
      <c r="G448" s="120"/>
      <c r="H448" s="194"/>
      <c r="I448" s="194"/>
      <c r="J448" s="120"/>
      <c r="K448" s="120"/>
      <c r="L448" s="10"/>
      <c r="Z448" s="122"/>
    </row>
    <row r="449">
      <c r="A449" s="10"/>
      <c r="B449" s="10"/>
      <c r="C449" s="10"/>
      <c r="D449" s="10"/>
      <c r="E449" s="10"/>
      <c r="F449" s="10"/>
      <c r="G449" s="120"/>
      <c r="H449" s="194"/>
      <c r="I449" s="194"/>
      <c r="J449" s="120"/>
      <c r="K449" s="120"/>
      <c r="L449" s="10"/>
      <c r="Z449" s="122"/>
    </row>
    <row r="450">
      <c r="A450" s="10"/>
      <c r="B450" s="10"/>
      <c r="C450" s="10"/>
      <c r="D450" s="10"/>
      <c r="E450" s="10"/>
      <c r="F450" s="10"/>
      <c r="G450" s="120"/>
      <c r="H450" s="194"/>
      <c r="I450" s="194"/>
      <c r="J450" s="120"/>
      <c r="K450" s="120"/>
      <c r="L450" s="10"/>
      <c r="Z450" s="122"/>
    </row>
    <row r="451">
      <c r="A451" s="10"/>
      <c r="B451" s="10"/>
      <c r="C451" s="10"/>
      <c r="D451" s="10"/>
      <c r="E451" s="10"/>
      <c r="F451" s="10"/>
      <c r="G451" s="120"/>
      <c r="H451" s="194"/>
      <c r="I451" s="194"/>
      <c r="J451" s="120"/>
      <c r="K451" s="120"/>
      <c r="L451" s="10"/>
      <c r="Z451" s="122"/>
    </row>
    <row r="452">
      <c r="A452" s="10"/>
      <c r="B452" s="10"/>
      <c r="C452" s="10"/>
      <c r="D452" s="10"/>
      <c r="E452" s="10"/>
      <c r="F452" s="10"/>
      <c r="G452" s="120"/>
      <c r="H452" s="194"/>
      <c r="I452" s="194"/>
      <c r="J452" s="120"/>
      <c r="K452" s="120"/>
      <c r="L452" s="10"/>
      <c r="Z452" s="122"/>
    </row>
    <row r="453">
      <c r="A453" s="10"/>
      <c r="B453" s="10"/>
      <c r="C453" s="10"/>
      <c r="D453" s="10"/>
      <c r="E453" s="10"/>
      <c r="F453" s="10"/>
      <c r="G453" s="120"/>
      <c r="H453" s="194"/>
      <c r="I453" s="194"/>
      <c r="J453" s="120"/>
      <c r="K453" s="120"/>
      <c r="L453" s="10"/>
      <c r="Z453" s="122"/>
    </row>
    <row r="454">
      <c r="A454" s="10"/>
      <c r="B454" s="10"/>
      <c r="C454" s="10"/>
      <c r="D454" s="10"/>
      <c r="E454" s="10"/>
      <c r="F454" s="10"/>
      <c r="G454" s="120"/>
      <c r="H454" s="194"/>
      <c r="I454" s="194"/>
      <c r="J454" s="120"/>
      <c r="K454" s="120"/>
      <c r="L454" s="10"/>
      <c r="Z454" s="122"/>
    </row>
    <row r="455">
      <c r="A455" s="10"/>
      <c r="B455" s="10"/>
      <c r="C455" s="10"/>
      <c r="D455" s="10"/>
      <c r="E455" s="10"/>
      <c r="F455" s="10"/>
      <c r="G455" s="120"/>
      <c r="H455" s="194"/>
      <c r="I455" s="194"/>
      <c r="J455" s="120"/>
      <c r="K455" s="120"/>
      <c r="L455" s="10"/>
      <c r="Z455" s="122"/>
    </row>
    <row r="456">
      <c r="A456" s="10"/>
      <c r="B456" s="10"/>
      <c r="C456" s="10"/>
      <c r="D456" s="10"/>
      <c r="E456" s="10"/>
      <c r="F456" s="10"/>
      <c r="G456" s="120"/>
      <c r="H456" s="194"/>
      <c r="I456" s="194"/>
      <c r="J456" s="120"/>
      <c r="K456" s="120"/>
      <c r="L456" s="10"/>
      <c r="Z456" s="122"/>
    </row>
    <row r="457">
      <c r="A457" s="10"/>
      <c r="B457" s="10"/>
      <c r="C457" s="10"/>
      <c r="D457" s="10"/>
      <c r="E457" s="10"/>
      <c r="F457" s="10"/>
      <c r="G457" s="120"/>
      <c r="H457" s="194"/>
      <c r="I457" s="194"/>
      <c r="J457" s="120"/>
      <c r="K457" s="120"/>
      <c r="L457" s="10"/>
      <c r="Z457" s="122"/>
    </row>
    <row r="458">
      <c r="A458" s="10"/>
      <c r="B458" s="10"/>
      <c r="C458" s="10"/>
      <c r="D458" s="10"/>
      <c r="E458" s="10"/>
      <c r="F458" s="10"/>
      <c r="G458" s="120"/>
      <c r="H458" s="194"/>
      <c r="I458" s="194"/>
      <c r="J458" s="120"/>
      <c r="K458" s="120"/>
      <c r="L458" s="10"/>
      <c r="Z458" s="122"/>
    </row>
    <row r="459">
      <c r="A459" s="10"/>
      <c r="B459" s="10"/>
      <c r="C459" s="10"/>
      <c r="D459" s="10"/>
      <c r="E459" s="10"/>
      <c r="F459" s="10"/>
      <c r="G459" s="120"/>
      <c r="H459" s="194"/>
      <c r="I459" s="194"/>
      <c r="J459" s="120"/>
      <c r="K459" s="120"/>
      <c r="L459" s="10"/>
      <c r="Z459" s="122"/>
    </row>
    <row r="460">
      <c r="A460" s="10"/>
      <c r="B460" s="10"/>
      <c r="C460" s="10"/>
      <c r="D460" s="10"/>
      <c r="E460" s="10"/>
      <c r="F460" s="10"/>
      <c r="G460" s="120"/>
      <c r="H460" s="194"/>
      <c r="I460" s="194"/>
      <c r="J460" s="120"/>
      <c r="K460" s="120"/>
      <c r="L460" s="10"/>
      <c r="Z460" s="122"/>
    </row>
    <row r="461">
      <c r="A461" s="10"/>
      <c r="B461" s="10"/>
      <c r="C461" s="10"/>
      <c r="D461" s="10"/>
      <c r="E461" s="10"/>
      <c r="F461" s="10"/>
      <c r="G461" s="120"/>
      <c r="H461" s="194"/>
      <c r="I461" s="194"/>
      <c r="J461" s="120"/>
      <c r="K461" s="120"/>
      <c r="L461" s="10"/>
      <c r="Z461" s="122"/>
    </row>
    <row r="462">
      <c r="A462" s="10"/>
      <c r="B462" s="10"/>
      <c r="C462" s="10"/>
      <c r="D462" s="10"/>
      <c r="E462" s="10"/>
      <c r="F462" s="10"/>
      <c r="G462" s="120"/>
      <c r="H462" s="194"/>
      <c r="I462" s="194"/>
      <c r="J462" s="120"/>
      <c r="K462" s="120"/>
      <c r="L462" s="10"/>
      <c r="Z462" s="122"/>
    </row>
    <row r="463">
      <c r="A463" s="10"/>
      <c r="B463" s="10"/>
      <c r="C463" s="10"/>
      <c r="D463" s="10"/>
      <c r="E463" s="10"/>
      <c r="F463" s="10"/>
      <c r="G463" s="120"/>
      <c r="H463" s="194"/>
      <c r="I463" s="194"/>
      <c r="J463" s="120"/>
      <c r="K463" s="120"/>
      <c r="L463" s="10"/>
      <c r="Z463" s="122"/>
    </row>
    <row r="464">
      <c r="A464" s="10"/>
      <c r="B464" s="10"/>
      <c r="C464" s="10"/>
      <c r="D464" s="10"/>
      <c r="E464" s="10"/>
      <c r="F464" s="10"/>
      <c r="G464" s="120"/>
      <c r="H464" s="194"/>
      <c r="I464" s="194"/>
      <c r="J464" s="120"/>
      <c r="K464" s="120"/>
      <c r="L464" s="10"/>
      <c r="Z464" s="122"/>
    </row>
    <row r="465">
      <c r="A465" s="10"/>
      <c r="B465" s="10"/>
      <c r="C465" s="10"/>
      <c r="D465" s="10"/>
      <c r="E465" s="10"/>
      <c r="F465" s="10"/>
      <c r="G465" s="120"/>
      <c r="H465" s="194"/>
      <c r="I465" s="194"/>
      <c r="J465" s="120"/>
      <c r="K465" s="120"/>
      <c r="L465" s="10"/>
      <c r="Z465" s="122"/>
    </row>
    <row r="466">
      <c r="A466" s="10"/>
      <c r="B466" s="10"/>
      <c r="C466" s="10"/>
      <c r="D466" s="10"/>
      <c r="E466" s="10"/>
      <c r="F466" s="10"/>
      <c r="G466" s="120"/>
      <c r="H466" s="194"/>
      <c r="I466" s="194"/>
      <c r="J466" s="120"/>
      <c r="K466" s="120"/>
      <c r="L466" s="10"/>
      <c r="Z466" s="122"/>
    </row>
    <row r="467">
      <c r="A467" s="10"/>
      <c r="B467" s="10"/>
      <c r="C467" s="10"/>
      <c r="D467" s="10"/>
      <c r="E467" s="10"/>
      <c r="F467" s="10"/>
      <c r="G467" s="120"/>
      <c r="H467" s="194"/>
      <c r="I467" s="194"/>
      <c r="J467" s="120"/>
      <c r="K467" s="120"/>
      <c r="L467" s="10"/>
      <c r="Z467" s="122"/>
    </row>
    <row r="468">
      <c r="A468" s="10"/>
      <c r="B468" s="10"/>
      <c r="C468" s="10"/>
      <c r="D468" s="10"/>
      <c r="E468" s="10"/>
      <c r="F468" s="10"/>
      <c r="G468" s="120"/>
      <c r="H468" s="194"/>
      <c r="I468" s="194"/>
      <c r="J468" s="120"/>
      <c r="K468" s="120"/>
      <c r="L468" s="10"/>
      <c r="Z468" s="122"/>
    </row>
    <row r="469">
      <c r="A469" s="10"/>
      <c r="B469" s="10"/>
      <c r="C469" s="10"/>
      <c r="D469" s="10"/>
      <c r="E469" s="10"/>
      <c r="F469" s="10"/>
      <c r="G469" s="120"/>
      <c r="H469" s="194"/>
      <c r="I469" s="194"/>
      <c r="J469" s="120"/>
      <c r="K469" s="120"/>
      <c r="L469" s="10"/>
      <c r="Z469" s="122"/>
    </row>
    <row r="470">
      <c r="A470" s="10"/>
      <c r="B470" s="10"/>
      <c r="C470" s="10"/>
      <c r="D470" s="10"/>
      <c r="E470" s="10"/>
      <c r="F470" s="10"/>
      <c r="G470" s="120"/>
      <c r="H470" s="194"/>
      <c r="I470" s="194"/>
      <c r="J470" s="120"/>
      <c r="K470" s="120"/>
      <c r="L470" s="10"/>
      <c r="Z470" s="122"/>
    </row>
    <row r="471">
      <c r="A471" s="10"/>
      <c r="B471" s="10"/>
      <c r="C471" s="10"/>
      <c r="D471" s="10"/>
      <c r="E471" s="10"/>
      <c r="F471" s="10"/>
      <c r="G471" s="120"/>
      <c r="H471" s="194"/>
      <c r="I471" s="194"/>
      <c r="J471" s="120"/>
      <c r="K471" s="120"/>
      <c r="L471" s="10"/>
      <c r="Z471" s="122"/>
    </row>
    <row r="472">
      <c r="A472" s="10"/>
      <c r="B472" s="10"/>
      <c r="C472" s="10"/>
      <c r="D472" s="10"/>
      <c r="E472" s="10"/>
      <c r="F472" s="10"/>
      <c r="G472" s="120"/>
      <c r="H472" s="194"/>
      <c r="I472" s="194"/>
      <c r="J472" s="120"/>
      <c r="K472" s="120"/>
      <c r="L472" s="10"/>
      <c r="Z472" s="122"/>
    </row>
    <row r="473">
      <c r="A473" s="10"/>
      <c r="B473" s="10"/>
      <c r="C473" s="10"/>
      <c r="D473" s="10"/>
      <c r="E473" s="10"/>
      <c r="F473" s="10"/>
      <c r="G473" s="120"/>
      <c r="H473" s="194"/>
      <c r="I473" s="194"/>
      <c r="J473" s="120"/>
      <c r="K473" s="120"/>
      <c r="L473" s="10"/>
      <c r="Z473" s="122"/>
    </row>
    <row r="474">
      <c r="A474" s="10"/>
      <c r="B474" s="10"/>
      <c r="C474" s="10"/>
      <c r="D474" s="10"/>
      <c r="E474" s="10"/>
      <c r="F474" s="10"/>
      <c r="G474" s="120"/>
      <c r="H474" s="194"/>
      <c r="I474" s="194"/>
      <c r="J474" s="120"/>
      <c r="K474" s="120"/>
      <c r="L474" s="10"/>
      <c r="Z474" s="122"/>
    </row>
    <row r="475">
      <c r="A475" s="10"/>
      <c r="B475" s="10"/>
      <c r="C475" s="10"/>
      <c r="D475" s="10"/>
      <c r="E475" s="10"/>
      <c r="F475" s="10"/>
      <c r="G475" s="120"/>
      <c r="H475" s="194"/>
      <c r="I475" s="194"/>
      <c r="J475" s="120"/>
      <c r="K475" s="120"/>
      <c r="L475" s="10"/>
      <c r="Z475" s="122"/>
    </row>
    <row r="476">
      <c r="A476" s="10"/>
      <c r="B476" s="10"/>
      <c r="C476" s="10"/>
      <c r="D476" s="10"/>
      <c r="E476" s="10"/>
      <c r="F476" s="10"/>
      <c r="G476" s="120"/>
      <c r="H476" s="194"/>
      <c r="I476" s="194"/>
      <c r="J476" s="120"/>
      <c r="K476" s="120"/>
      <c r="L476" s="10"/>
      <c r="Z476" s="122"/>
    </row>
    <row r="477">
      <c r="A477" s="10"/>
      <c r="B477" s="10"/>
      <c r="C477" s="10"/>
      <c r="D477" s="10"/>
      <c r="E477" s="10"/>
      <c r="F477" s="10"/>
      <c r="G477" s="120"/>
      <c r="H477" s="194"/>
      <c r="I477" s="194"/>
      <c r="J477" s="120"/>
      <c r="K477" s="120"/>
      <c r="L477" s="10"/>
      <c r="Z477" s="122"/>
    </row>
    <row r="478">
      <c r="A478" s="10"/>
      <c r="B478" s="10"/>
      <c r="C478" s="10"/>
      <c r="D478" s="10"/>
      <c r="E478" s="10"/>
      <c r="F478" s="10"/>
      <c r="G478" s="120"/>
      <c r="H478" s="194"/>
      <c r="I478" s="194"/>
      <c r="J478" s="120"/>
      <c r="K478" s="120"/>
      <c r="L478" s="10"/>
      <c r="Z478" s="122"/>
    </row>
    <row r="479">
      <c r="A479" s="10"/>
      <c r="B479" s="10"/>
      <c r="C479" s="10"/>
      <c r="D479" s="10"/>
      <c r="E479" s="10"/>
      <c r="F479" s="10"/>
      <c r="G479" s="120"/>
      <c r="H479" s="194"/>
      <c r="I479" s="194"/>
      <c r="J479" s="120"/>
      <c r="K479" s="120"/>
      <c r="L479" s="10"/>
      <c r="Z479" s="122"/>
    </row>
    <row r="480">
      <c r="A480" s="10"/>
      <c r="B480" s="10"/>
      <c r="C480" s="10"/>
      <c r="D480" s="10"/>
      <c r="E480" s="10"/>
      <c r="F480" s="10"/>
      <c r="G480" s="120"/>
      <c r="H480" s="194"/>
      <c r="I480" s="194"/>
      <c r="J480" s="120"/>
      <c r="K480" s="120"/>
      <c r="L480" s="10"/>
      <c r="Z480" s="122"/>
    </row>
    <row r="481">
      <c r="A481" s="10"/>
      <c r="B481" s="10"/>
      <c r="C481" s="10"/>
      <c r="D481" s="10"/>
      <c r="E481" s="10"/>
      <c r="F481" s="10"/>
      <c r="G481" s="120"/>
      <c r="H481" s="194"/>
      <c r="I481" s="194"/>
      <c r="J481" s="120"/>
      <c r="K481" s="120"/>
      <c r="L481" s="10"/>
      <c r="Z481" s="122"/>
    </row>
    <row r="482">
      <c r="A482" s="10"/>
      <c r="B482" s="10"/>
      <c r="C482" s="10"/>
      <c r="D482" s="10"/>
      <c r="E482" s="10"/>
      <c r="F482" s="10"/>
      <c r="G482" s="120"/>
      <c r="H482" s="194"/>
      <c r="I482" s="194"/>
      <c r="J482" s="120"/>
      <c r="K482" s="120"/>
      <c r="L482" s="10"/>
      <c r="Z482" s="122"/>
    </row>
    <row r="483">
      <c r="A483" s="10"/>
      <c r="B483" s="10"/>
      <c r="C483" s="10"/>
      <c r="D483" s="10"/>
      <c r="E483" s="10"/>
      <c r="F483" s="10"/>
      <c r="G483" s="120"/>
      <c r="H483" s="194"/>
      <c r="I483" s="194"/>
      <c r="J483" s="120"/>
      <c r="K483" s="120"/>
      <c r="L483" s="10"/>
      <c r="Z483" s="122"/>
    </row>
    <row r="484">
      <c r="A484" s="10"/>
      <c r="B484" s="10"/>
      <c r="C484" s="10"/>
      <c r="D484" s="10"/>
      <c r="E484" s="10"/>
      <c r="F484" s="10"/>
      <c r="G484" s="120"/>
      <c r="H484" s="194"/>
      <c r="I484" s="194"/>
      <c r="J484" s="120"/>
      <c r="K484" s="120"/>
      <c r="L484" s="10"/>
      <c r="Z484" s="122"/>
    </row>
    <row r="485">
      <c r="A485" s="10"/>
      <c r="B485" s="10"/>
      <c r="C485" s="10"/>
      <c r="D485" s="10"/>
      <c r="E485" s="10"/>
      <c r="F485" s="10"/>
      <c r="G485" s="120"/>
      <c r="H485" s="194"/>
      <c r="I485" s="194"/>
      <c r="J485" s="120"/>
      <c r="K485" s="120"/>
      <c r="L485" s="10"/>
      <c r="Z485" s="122"/>
    </row>
    <row r="486">
      <c r="A486" s="10"/>
      <c r="B486" s="10"/>
      <c r="C486" s="10"/>
      <c r="D486" s="10"/>
      <c r="E486" s="10"/>
      <c r="F486" s="10"/>
      <c r="G486" s="120"/>
      <c r="H486" s="194"/>
      <c r="I486" s="194"/>
      <c r="J486" s="120"/>
      <c r="K486" s="120"/>
      <c r="L486" s="10"/>
      <c r="Z486" s="122"/>
    </row>
    <row r="487">
      <c r="A487" s="10"/>
      <c r="B487" s="10"/>
      <c r="C487" s="10"/>
      <c r="D487" s="10"/>
      <c r="E487" s="10"/>
      <c r="F487" s="10"/>
      <c r="G487" s="120"/>
      <c r="H487" s="194"/>
      <c r="I487" s="194"/>
      <c r="J487" s="120"/>
      <c r="K487" s="120"/>
      <c r="L487" s="10"/>
      <c r="Z487" s="122"/>
    </row>
    <row r="488">
      <c r="A488" s="10"/>
      <c r="B488" s="10"/>
      <c r="C488" s="10"/>
      <c r="D488" s="10"/>
      <c r="E488" s="10"/>
      <c r="F488" s="10"/>
      <c r="G488" s="120"/>
      <c r="H488" s="194"/>
      <c r="I488" s="194"/>
      <c r="J488" s="120"/>
      <c r="K488" s="120"/>
      <c r="L488" s="10"/>
      <c r="Z488" s="122"/>
    </row>
    <row r="489">
      <c r="A489" s="10"/>
      <c r="B489" s="10"/>
      <c r="C489" s="10"/>
      <c r="D489" s="10"/>
      <c r="E489" s="10"/>
      <c r="F489" s="10"/>
      <c r="G489" s="120"/>
      <c r="H489" s="194"/>
      <c r="I489" s="194"/>
      <c r="J489" s="120"/>
      <c r="K489" s="120"/>
      <c r="L489" s="10"/>
      <c r="Z489" s="122"/>
    </row>
    <row r="490">
      <c r="A490" s="10"/>
      <c r="B490" s="10"/>
      <c r="C490" s="10"/>
      <c r="D490" s="10"/>
      <c r="E490" s="10"/>
      <c r="F490" s="10"/>
      <c r="G490" s="120"/>
      <c r="H490" s="194"/>
      <c r="I490" s="194"/>
      <c r="J490" s="120"/>
      <c r="K490" s="120"/>
      <c r="L490" s="10"/>
      <c r="Z490" s="122"/>
    </row>
    <row r="491">
      <c r="A491" s="10"/>
      <c r="B491" s="10"/>
      <c r="C491" s="10"/>
      <c r="D491" s="10"/>
      <c r="E491" s="10"/>
      <c r="F491" s="10"/>
      <c r="G491" s="120"/>
      <c r="H491" s="194"/>
      <c r="I491" s="194"/>
      <c r="J491" s="120"/>
      <c r="K491" s="120"/>
      <c r="L491" s="10"/>
      <c r="Z491" s="122"/>
    </row>
    <row r="492">
      <c r="A492" s="10"/>
      <c r="B492" s="10"/>
      <c r="C492" s="10"/>
      <c r="D492" s="10"/>
      <c r="E492" s="10"/>
      <c r="F492" s="10"/>
      <c r="G492" s="120"/>
      <c r="H492" s="194"/>
      <c r="I492" s="194"/>
      <c r="J492" s="120"/>
      <c r="K492" s="120"/>
      <c r="L492" s="10"/>
      <c r="Z492" s="122"/>
    </row>
    <row r="493">
      <c r="A493" s="10"/>
      <c r="B493" s="10"/>
      <c r="C493" s="10"/>
      <c r="D493" s="10"/>
      <c r="E493" s="10"/>
      <c r="F493" s="10"/>
      <c r="G493" s="120"/>
      <c r="H493" s="194"/>
      <c r="I493" s="194"/>
      <c r="J493" s="120"/>
      <c r="K493" s="120"/>
      <c r="L493" s="10"/>
      <c r="Z493" s="122"/>
    </row>
    <row r="494">
      <c r="A494" s="10"/>
      <c r="B494" s="10"/>
      <c r="C494" s="10"/>
      <c r="D494" s="10"/>
      <c r="E494" s="10"/>
      <c r="F494" s="10"/>
      <c r="G494" s="120"/>
      <c r="H494" s="194"/>
      <c r="I494" s="194"/>
      <c r="J494" s="120"/>
      <c r="K494" s="120"/>
      <c r="L494" s="10"/>
      <c r="Z494" s="122"/>
    </row>
    <row r="495">
      <c r="A495" s="10"/>
      <c r="B495" s="10"/>
      <c r="C495" s="10"/>
      <c r="D495" s="10"/>
      <c r="E495" s="10"/>
      <c r="F495" s="10"/>
      <c r="G495" s="120"/>
      <c r="H495" s="194"/>
      <c r="I495" s="194"/>
      <c r="J495" s="120"/>
      <c r="K495" s="120"/>
      <c r="L495" s="10"/>
      <c r="Z495" s="122"/>
    </row>
    <row r="496">
      <c r="A496" s="10"/>
      <c r="B496" s="10"/>
      <c r="C496" s="10"/>
      <c r="D496" s="10"/>
      <c r="E496" s="10"/>
      <c r="F496" s="10"/>
      <c r="G496" s="120"/>
      <c r="H496" s="194"/>
      <c r="I496" s="194"/>
      <c r="J496" s="120"/>
      <c r="K496" s="120"/>
      <c r="L496" s="10"/>
      <c r="Z496" s="122"/>
    </row>
    <row r="497">
      <c r="A497" s="10"/>
      <c r="B497" s="10"/>
      <c r="C497" s="10"/>
      <c r="D497" s="10"/>
      <c r="E497" s="10"/>
      <c r="F497" s="10"/>
      <c r="G497" s="120"/>
      <c r="H497" s="194"/>
      <c r="I497" s="194"/>
      <c r="J497" s="120"/>
      <c r="K497" s="120"/>
      <c r="L497" s="10"/>
      <c r="Z497" s="122"/>
    </row>
    <row r="498">
      <c r="A498" s="10"/>
      <c r="B498" s="10"/>
      <c r="C498" s="10"/>
      <c r="D498" s="10"/>
      <c r="E498" s="10"/>
      <c r="F498" s="10"/>
      <c r="G498" s="120"/>
      <c r="H498" s="194"/>
      <c r="I498" s="194"/>
      <c r="J498" s="120"/>
      <c r="K498" s="120"/>
      <c r="L498" s="10"/>
      <c r="Z498" s="122"/>
    </row>
    <row r="499">
      <c r="A499" s="10"/>
      <c r="B499" s="10"/>
      <c r="C499" s="10"/>
      <c r="D499" s="10"/>
      <c r="E499" s="10"/>
      <c r="F499" s="10"/>
      <c r="G499" s="120"/>
      <c r="H499" s="194"/>
      <c r="I499" s="194"/>
      <c r="J499" s="120"/>
      <c r="K499" s="120"/>
      <c r="L499" s="10"/>
      <c r="Z499" s="122"/>
    </row>
    <row r="500">
      <c r="A500" s="10"/>
      <c r="B500" s="10"/>
      <c r="C500" s="10"/>
      <c r="D500" s="10"/>
      <c r="E500" s="10"/>
      <c r="F500" s="10"/>
      <c r="G500" s="120"/>
      <c r="H500" s="194"/>
      <c r="I500" s="194"/>
      <c r="J500" s="120"/>
      <c r="K500" s="120"/>
      <c r="L500" s="10"/>
      <c r="Z500" s="122"/>
    </row>
    <row r="501">
      <c r="A501" s="10"/>
      <c r="B501" s="10"/>
      <c r="C501" s="10"/>
      <c r="D501" s="10"/>
      <c r="E501" s="10"/>
      <c r="F501" s="10"/>
      <c r="G501" s="120"/>
      <c r="H501" s="194"/>
      <c r="I501" s="194"/>
      <c r="J501" s="120"/>
      <c r="K501" s="120"/>
      <c r="L501" s="10"/>
      <c r="Z501" s="122"/>
    </row>
    <row r="502">
      <c r="A502" s="10"/>
      <c r="B502" s="10"/>
      <c r="C502" s="10"/>
      <c r="D502" s="10"/>
      <c r="E502" s="10"/>
      <c r="F502" s="10"/>
      <c r="G502" s="120"/>
      <c r="H502" s="194"/>
      <c r="I502" s="194"/>
      <c r="J502" s="120"/>
      <c r="K502" s="120"/>
      <c r="L502" s="10"/>
      <c r="Z502" s="122"/>
    </row>
    <row r="503">
      <c r="A503" s="10"/>
      <c r="B503" s="10"/>
      <c r="C503" s="10"/>
      <c r="D503" s="10"/>
      <c r="E503" s="10"/>
      <c r="F503" s="10"/>
      <c r="G503" s="120"/>
      <c r="H503" s="194"/>
      <c r="I503" s="194"/>
      <c r="J503" s="120"/>
      <c r="K503" s="120"/>
      <c r="L503" s="10"/>
      <c r="Z503" s="122"/>
    </row>
    <row r="504">
      <c r="A504" s="10"/>
      <c r="B504" s="10"/>
      <c r="C504" s="10"/>
      <c r="D504" s="10"/>
      <c r="E504" s="10"/>
      <c r="F504" s="10"/>
      <c r="G504" s="120"/>
      <c r="H504" s="194"/>
      <c r="I504" s="194"/>
      <c r="J504" s="120"/>
      <c r="K504" s="120"/>
      <c r="L504" s="10"/>
      <c r="Z504" s="122"/>
    </row>
    <row r="505">
      <c r="A505" s="10"/>
      <c r="B505" s="10"/>
      <c r="C505" s="10"/>
      <c r="D505" s="10"/>
      <c r="E505" s="10"/>
      <c r="F505" s="10"/>
      <c r="G505" s="120"/>
      <c r="H505" s="194"/>
      <c r="I505" s="194"/>
      <c r="J505" s="120"/>
      <c r="K505" s="120"/>
      <c r="L505" s="10"/>
      <c r="Z505" s="122"/>
    </row>
    <row r="506">
      <c r="A506" s="10"/>
      <c r="B506" s="10"/>
      <c r="C506" s="10"/>
      <c r="D506" s="10"/>
      <c r="E506" s="10"/>
      <c r="F506" s="10"/>
      <c r="G506" s="120"/>
      <c r="H506" s="194"/>
      <c r="I506" s="194"/>
      <c r="J506" s="120"/>
      <c r="K506" s="120"/>
      <c r="L506" s="10"/>
      <c r="Z506" s="122"/>
    </row>
    <row r="507">
      <c r="A507" s="10"/>
      <c r="B507" s="10"/>
      <c r="C507" s="10"/>
      <c r="D507" s="10"/>
      <c r="E507" s="10"/>
      <c r="F507" s="10"/>
      <c r="G507" s="120"/>
      <c r="H507" s="194"/>
      <c r="I507" s="194"/>
      <c r="J507" s="120"/>
      <c r="K507" s="120"/>
      <c r="L507" s="10"/>
      <c r="Z507" s="122"/>
    </row>
    <row r="508">
      <c r="A508" s="10"/>
      <c r="B508" s="10"/>
      <c r="C508" s="10"/>
      <c r="D508" s="10"/>
      <c r="E508" s="10"/>
      <c r="F508" s="10"/>
      <c r="G508" s="120"/>
      <c r="H508" s="194"/>
      <c r="I508" s="194"/>
      <c r="J508" s="120"/>
      <c r="K508" s="120"/>
      <c r="L508" s="10"/>
      <c r="Z508" s="122"/>
    </row>
    <row r="509">
      <c r="A509" s="10"/>
      <c r="B509" s="10"/>
      <c r="C509" s="10"/>
      <c r="D509" s="10"/>
      <c r="E509" s="10"/>
      <c r="F509" s="10"/>
      <c r="G509" s="120"/>
      <c r="H509" s="194"/>
      <c r="I509" s="194"/>
      <c r="J509" s="120"/>
      <c r="K509" s="120"/>
      <c r="L509" s="10"/>
      <c r="Z509" s="122"/>
    </row>
    <row r="510">
      <c r="A510" s="10"/>
      <c r="B510" s="10"/>
      <c r="C510" s="10"/>
      <c r="D510" s="10"/>
      <c r="E510" s="10"/>
      <c r="F510" s="10"/>
      <c r="G510" s="120"/>
      <c r="H510" s="194"/>
      <c r="I510" s="194"/>
      <c r="J510" s="120"/>
      <c r="K510" s="120"/>
      <c r="L510" s="10"/>
      <c r="Z510" s="122"/>
    </row>
    <row r="511">
      <c r="A511" s="10"/>
      <c r="B511" s="10"/>
      <c r="C511" s="10"/>
      <c r="D511" s="10"/>
      <c r="E511" s="10"/>
      <c r="F511" s="10"/>
      <c r="G511" s="120"/>
      <c r="H511" s="194"/>
      <c r="I511" s="194"/>
      <c r="J511" s="120"/>
      <c r="K511" s="120"/>
      <c r="L511" s="10"/>
      <c r="Z511" s="122"/>
    </row>
    <row r="512">
      <c r="A512" s="10"/>
      <c r="B512" s="10"/>
      <c r="C512" s="10"/>
      <c r="D512" s="10"/>
      <c r="E512" s="10"/>
      <c r="F512" s="10"/>
      <c r="G512" s="120"/>
      <c r="H512" s="194"/>
      <c r="I512" s="194"/>
      <c r="J512" s="120"/>
      <c r="K512" s="120"/>
      <c r="L512" s="10"/>
      <c r="Z512" s="122"/>
    </row>
    <row r="513">
      <c r="A513" s="10"/>
      <c r="B513" s="10"/>
      <c r="C513" s="10"/>
      <c r="D513" s="10"/>
      <c r="E513" s="10"/>
      <c r="F513" s="10"/>
      <c r="G513" s="120"/>
      <c r="H513" s="194"/>
      <c r="I513" s="194"/>
      <c r="J513" s="120"/>
      <c r="K513" s="120"/>
      <c r="L513" s="10"/>
      <c r="Z513" s="122"/>
    </row>
    <row r="514">
      <c r="A514" s="10"/>
      <c r="B514" s="10"/>
      <c r="C514" s="10"/>
      <c r="D514" s="10"/>
      <c r="E514" s="10"/>
      <c r="F514" s="10"/>
      <c r="G514" s="120"/>
      <c r="H514" s="194"/>
      <c r="I514" s="194"/>
      <c r="J514" s="120"/>
      <c r="K514" s="120"/>
      <c r="L514" s="10"/>
      <c r="Z514" s="122"/>
    </row>
    <row r="515">
      <c r="A515" s="10"/>
      <c r="B515" s="10"/>
      <c r="C515" s="10"/>
      <c r="D515" s="10"/>
      <c r="E515" s="10"/>
      <c r="F515" s="10"/>
      <c r="G515" s="120"/>
      <c r="H515" s="194"/>
      <c r="I515" s="194"/>
      <c r="J515" s="120"/>
      <c r="K515" s="120"/>
      <c r="L515" s="10"/>
      <c r="Z515" s="122"/>
    </row>
    <row r="516">
      <c r="A516" s="10"/>
      <c r="B516" s="10"/>
      <c r="C516" s="10"/>
      <c r="D516" s="10"/>
      <c r="E516" s="10"/>
      <c r="F516" s="10"/>
      <c r="G516" s="120"/>
      <c r="H516" s="194"/>
      <c r="I516" s="194"/>
      <c r="J516" s="120"/>
      <c r="K516" s="120"/>
      <c r="L516" s="10"/>
      <c r="Z516" s="122"/>
    </row>
    <row r="517">
      <c r="A517" s="10"/>
      <c r="B517" s="10"/>
      <c r="C517" s="10"/>
      <c r="D517" s="10"/>
      <c r="E517" s="10"/>
      <c r="F517" s="10"/>
      <c r="G517" s="120"/>
      <c r="H517" s="194"/>
      <c r="I517" s="194"/>
      <c r="J517" s="120"/>
      <c r="K517" s="120"/>
      <c r="L517" s="10"/>
      <c r="Z517" s="122"/>
    </row>
    <row r="518">
      <c r="A518" s="10"/>
      <c r="B518" s="10"/>
      <c r="C518" s="10"/>
      <c r="D518" s="10"/>
      <c r="E518" s="10"/>
      <c r="F518" s="10"/>
      <c r="G518" s="120"/>
      <c r="H518" s="194"/>
      <c r="I518" s="194"/>
      <c r="J518" s="120"/>
      <c r="K518" s="120"/>
      <c r="L518" s="10"/>
      <c r="Z518" s="122"/>
    </row>
    <row r="519">
      <c r="A519" s="10"/>
      <c r="B519" s="10"/>
      <c r="C519" s="10"/>
      <c r="D519" s="10"/>
      <c r="E519" s="10"/>
      <c r="F519" s="10"/>
      <c r="G519" s="120"/>
      <c r="H519" s="194"/>
      <c r="I519" s="194"/>
      <c r="J519" s="120"/>
      <c r="K519" s="120"/>
      <c r="L519" s="10"/>
      <c r="Z519" s="122"/>
    </row>
    <row r="520">
      <c r="A520" s="10"/>
      <c r="B520" s="10"/>
      <c r="C520" s="10"/>
      <c r="D520" s="10"/>
      <c r="E520" s="10"/>
      <c r="F520" s="10"/>
      <c r="G520" s="120"/>
      <c r="H520" s="194"/>
      <c r="I520" s="194"/>
      <c r="J520" s="120"/>
      <c r="K520" s="120"/>
      <c r="L520" s="10"/>
      <c r="Z520" s="122"/>
    </row>
    <row r="521">
      <c r="A521" s="10"/>
      <c r="B521" s="10"/>
      <c r="C521" s="10"/>
      <c r="D521" s="10"/>
      <c r="E521" s="10"/>
      <c r="F521" s="10"/>
      <c r="G521" s="120"/>
      <c r="H521" s="194"/>
      <c r="I521" s="194"/>
      <c r="J521" s="120"/>
      <c r="K521" s="120"/>
      <c r="L521" s="10"/>
      <c r="Z521" s="122"/>
    </row>
    <row r="522">
      <c r="A522" s="10"/>
      <c r="B522" s="10"/>
      <c r="C522" s="10"/>
      <c r="D522" s="10"/>
      <c r="E522" s="10"/>
      <c r="F522" s="10"/>
      <c r="G522" s="120"/>
      <c r="H522" s="194"/>
      <c r="I522" s="194"/>
      <c r="J522" s="120"/>
      <c r="K522" s="120"/>
      <c r="L522" s="10"/>
      <c r="Z522" s="122"/>
    </row>
    <row r="523">
      <c r="A523" s="10"/>
      <c r="B523" s="10"/>
      <c r="C523" s="10"/>
      <c r="D523" s="10"/>
      <c r="E523" s="10"/>
      <c r="F523" s="10"/>
      <c r="G523" s="120"/>
      <c r="H523" s="194"/>
      <c r="I523" s="194"/>
      <c r="J523" s="120"/>
      <c r="K523" s="120"/>
      <c r="L523" s="10"/>
      <c r="Z523" s="122"/>
    </row>
    <row r="524">
      <c r="A524" s="10"/>
      <c r="B524" s="10"/>
      <c r="C524" s="10"/>
      <c r="D524" s="10"/>
      <c r="E524" s="10"/>
      <c r="F524" s="10"/>
      <c r="G524" s="120"/>
      <c r="H524" s="194"/>
      <c r="I524" s="194"/>
      <c r="J524" s="120"/>
      <c r="K524" s="120"/>
      <c r="L524" s="10"/>
      <c r="Z524" s="122"/>
    </row>
    <row r="525">
      <c r="A525" s="10"/>
      <c r="B525" s="10"/>
      <c r="C525" s="10"/>
      <c r="D525" s="10"/>
      <c r="E525" s="10"/>
      <c r="F525" s="10"/>
      <c r="G525" s="120"/>
      <c r="H525" s="194"/>
      <c r="I525" s="194"/>
      <c r="J525" s="120"/>
      <c r="K525" s="120"/>
      <c r="L525" s="10"/>
      <c r="Z525" s="122"/>
    </row>
    <row r="526">
      <c r="A526" s="10"/>
      <c r="B526" s="10"/>
      <c r="C526" s="10"/>
      <c r="D526" s="10"/>
      <c r="E526" s="10"/>
      <c r="F526" s="10"/>
      <c r="G526" s="120"/>
      <c r="H526" s="194"/>
      <c r="I526" s="194"/>
      <c r="J526" s="120"/>
      <c r="K526" s="120"/>
      <c r="L526" s="10"/>
      <c r="Z526" s="122"/>
    </row>
    <row r="527">
      <c r="A527" s="10"/>
      <c r="B527" s="10"/>
      <c r="C527" s="10"/>
      <c r="D527" s="10"/>
      <c r="E527" s="10"/>
      <c r="F527" s="10"/>
      <c r="G527" s="120"/>
      <c r="H527" s="194"/>
      <c r="I527" s="194"/>
      <c r="J527" s="120"/>
      <c r="K527" s="120"/>
      <c r="L527" s="10"/>
      <c r="Z527" s="122"/>
    </row>
    <row r="528">
      <c r="A528" s="10"/>
      <c r="B528" s="10"/>
      <c r="C528" s="10"/>
      <c r="D528" s="10"/>
      <c r="E528" s="10"/>
      <c r="F528" s="10"/>
      <c r="G528" s="120"/>
      <c r="H528" s="194"/>
      <c r="I528" s="194"/>
      <c r="J528" s="120"/>
      <c r="K528" s="120"/>
      <c r="L528" s="10"/>
      <c r="Z528" s="122"/>
    </row>
    <row r="529">
      <c r="A529" s="10"/>
      <c r="B529" s="10"/>
      <c r="C529" s="10"/>
      <c r="D529" s="10"/>
      <c r="E529" s="10"/>
      <c r="F529" s="10"/>
      <c r="G529" s="120"/>
      <c r="H529" s="194"/>
      <c r="I529" s="194"/>
      <c r="J529" s="120"/>
      <c r="K529" s="120"/>
      <c r="L529" s="10"/>
      <c r="Z529" s="122"/>
    </row>
    <row r="530">
      <c r="A530" s="10"/>
      <c r="B530" s="10"/>
      <c r="C530" s="10"/>
      <c r="D530" s="10"/>
      <c r="E530" s="10"/>
      <c r="F530" s="10"/>
      <c r="G530" s="120"/>
      <c r="H530" s="194"/>
      <c r="I530" s="194"/>
      <c r="J530" s="120"/>
      <c r="K530" s="120"/>
      <c r="L530" s="10"/>
      <c r="Z530" s="122"/>
    </row>
    <row r="531">
      <c r="A531" s="10"/>
      <c r="B531" s="10"/>
      <c r="C531" s="10"/>
      <c r="D531" s="10"/>
      <c r="E531" s="10"/>
      <c r="F531" s="10"/>
      <c r="G531" s="120"/>
      <c r="H531" s="194"/>
      <c r="I531" s="194"/>
      <c r="J531" s="120"/>
      <c r="K531" s="120"/>
      <c r="L531" s="10"/>
      <c r="Z531" s="122"/>
    </row>
    <row r="532">
      <c r="A532" s="10"/>
      <c r="B532" s="10"/>
      <c r="C532" s="10"/>
      <c r="D532" s="10"/>
      <c r="E532" s="10"/>
      <c r="F532" s="10"/>
      <c r="G532" s="120"/>
      <c r="H532" s="194"/>
      <c r="I532" s="194"/>
      <c r="J532" s="120"/>
      <c r="K532" s="120"/>
      <c r="L532" s="10"/>
      <c r="Z532" s="122"/>
    </row>
    <row r="533">
      <c r="A533" s="10"/>
      <c r="B533" s="10"/>
      <c r="C533" s="10"/>
      <c r="D533" s="10"/>
      <c r="E533" s="10"/>
      <c r="F533" s="10"/>
      <c r="G533" s="120"/>
      <c r="H533" s="194"/>
      <c r="I533" s="194"/>
      <c r="J533" s="120"/>
      <c r="K533" s="120"/>
      <c r="L533" s="10"/>
      <c r="Z533" s="122"/>
    </row>
    <row r="534">
      <c r="A534" s="10"/>
      <c r="B534" s="10"/>
      <c r="C534" s="10"/>
      <c r="D534" s="10"/>
      <c r="E534" s="10"/>
      <c r="F534" s="10"/>
      <c r="G534" s="120"/>
      <c r="H534" s="194"/>
      <c r="I534" s="194"/>
      <c r="J534" s="120"/>
      <c r="K534" s="120"/>
      <c r="L534" s="10"/>
      <c r="Z534" s="122"/>
    </row>
    <row r="535">
      <c r="A535" s="10"/>
      <c r="B535" s="10"/>
      <c r="C535" s="10"/>
      <c r="D535" s="10"/>
      <c r="E535" s="10"/>
      <c r="F535" s="10"/>
      <c r="G535" s="120"/>
      <c r="H535" s="194"/>
      <c r="I535" s="194"/>
      <c r="J535" s="120"/>
      <c r="K535" s="120"/>
      <c r="L535" s="10"/>
      <c r="Z535" s="122"/>
    </row>
    <row r="536">
      <c r="A536" s="10"/>
      <c r="B536" s="10"/>
      <c r="C536" s="10"/>
      <c r="D536" s="10"/>
      <c r="E536" s="10"/>
      <c r="F536" s="10"/>
      <c r="G536" s="120"/>
      <c r="H536" s="194"/>
      <c r="I536" s="194"/>
      <c r="J536" s="120"/>
      <c r="K536" s="120"/>
      <c r="L536" s="10"/>
      <c r="Z536" s="122"/>
    </row>
    <row r="537">
      <c r="A537" s="10"/>
      <c r="B537" s="10"/>
      <c r="C537" s="10"/>
      <c r="D537" s="10"/>
      <c r="E537" s="10"/>
      <c r="F537" s="10"/>
      <c r="G537" s="120"/>
      <c r="H537" s="194"/>
      <c r="I537" s="194"/>
      <c r="J537" s="120"/>
      <c r="K537" s="120"/>
      <c r="L537" s="10"/>
      <c r="Z537" s="122"/>
    </row>
    <row r="538">
      <c r="A538" s="10"/>
      <c r="B538" s="10"/>
      <c r="C538" s="10"/>
      <c r="D538" s="10"/>
      <c r="E538" s="10"/>
      <c r="F538" s="10"/>
      <c r="G538" s="120"/>
      <c r="H538" s="194"/>
      <c r="I538" s="194"/>
      <c r="J538" s="120"/>
      <c r="K538" s="120"/>
      <c r="L538" s="10"/>
      <c r="Z538" s="122"/>
    </row>
    <row r="539">
      <c r="A539" s="10"/>
      <c r="B539" s="10"/>
      <c r="C539" s="10"/>
      <c r="D539" s="10"/>
      <c r="E539" s="10"/>
      <c r="F539" s="10"/>
      <c r="G539" s="120"/>
      <c r="H539" s="194"/>
      <c r="I539" s="194"/>
      <c r="J539" s="120"/>
      <c r="K539" s="120"/>
      <c r="L539" s="10"/>
      <c r="Z539" s="122"/>
    </row>
    <row r="540">
      <c r="A540" s="10"/>
      <c r="B540" s="10"/>
      <c r="C540" s="10"/>
      <c r="D540" s="10"/>
      <c r="E540" s="10"/>
      <c r="F540" s="10"/>
      <c r="G540" s="120"/>
      <c r="H540" s="194"/>
      <c r="I540" s="194"/>
      <c r="J540" s="120"/>
      <c r="K540" s="120"/>
      <c r="L540" s="10"/>
      <c r="Z540" s="122"/>
    </row>
    <row r="541">
      <c r="A541" s="10"/>
      <c r="B541" s="10"/>
      <c r="C541" s="10"/>
      <c r="D541" s="10"/>
      <c r="E541" s="10"/>
      <c r="F541" s="10"/>
      <c r="G541" s="120"/>
      <c r="H541" s="194"/>
      <c r="I541" s="194"/>
      <c r="J541" s="120"/>
      <c r="K541" s="120"/>
      <c r="L541" s="10"/>
      <c r="Z541" s="122"/>
    </row>
    <row r="542">
      <c r="A542" s="10"/>
      <c r="B542" s="10"/>
      <c r="C542" s="10"/>
      <c r="D542" s="10"/>
      <c r="E542" s="10"/>
      <c r="F542" s="10"/>
      <c r="G542" s="120"/>
      <c r="H542" s="194"/>
      <c r="I542" s="194"/>
      <c r="J542" s="120"/>
      <c r="K542" s="120"/>
      <c r="L542" s="10"/>
      <c r="Z542" s="122"/>
    </row>
    <row r="543">
      <c r="A543" s="10"/>
      <c r="B543" s="10"/>
      <c r="C543" s="10"/>
      <c r="D543" s="10"/>
      <c r="E543" s="10"/>
      <c r="F543" s="10"/>
      <c r="G543" s="120"/>
      <c r="H543" s="194"/>
      <c r="I543" s="194"/>
      <c r="J543" s="120"/>
      <c r="K543" s="120"/>
      <c r="L543" s="10"/>
      <c r="Z543" s="122"/>
    </row>
    <row r="544">
      <c r="A544" s="10"/>
      <c r="B544" s="10"/>
      <c r="C544" s="10"/>
      <c r="D544" s="10"/>
      <c r="E544" s="10"/>
      <c r="F544" s="10"/>
      <c r="G544" s="120"/>
      <c r="H544" s="194"/>
      <c r="I544" s="194"/>
      <c r="J544" s="120"/>
      <c r="K544" s="120"/>
      <c r="L544" s="10"/>
      <c r="Z544" s="122"/>
    </row>
    <row r="545">
      <c r="A545" s="10"/>
      <c r="B545" s="10"/>
      <c r="C545" s="10"/>
      <c r="D545" s="10"/>
      <c r="E545" s="10"/>
      <c r="F545" s="10"/>
      <c r="G545" s="120"/>
      <c r="H545" s="194"/>
      <c r="I545" s="194"/>
      <c r="J545" s="120"/>
      <c r="K545" s="120"/>
      <c r="L545" s="10"/>
      <c r="Z545" s="122"/>
    </row>
    <row r="546">
      <c r="A546" s="10"/>
      <c r="B546" s="10"/>
      <c r="C546" s="10"/>
      <c r="D546" s="10"/>
      <c r="E546" s="10"/>
      <c r="F546" s="10"/>
      <c r="G546" s="120"/>
      <c r="H546" s="194"/>
      <c r="I546" s="194"/>
      <c r="J546" s="120"/>
      <c r="K546" s="120"/>
      <c r="L546" s="10"/>
      <c r="Z546" s="122"/>
    </row>
    <row r="547">
      <c r="A547" s="10"/>
      <c r="B547" s="10"/>
      <c r="C547" s="10"/>
      <c r="D547" s="10"/>
      <c r="E547" s="10"/>
      <c r="F547" s="10"/>
      <c r="G547" s="120"/>
      <c r="H547" s="194"/>
      <c r="I547" s="194"/>
      <c r="J547" s="120"/>
      <c r="K547" s="120"/>
      <c r="L547" s="10"/>
      <c r="Z547" s="122"/>
    </row>
    <row r="548">
      <c r="A548" s="10"/>
      <c r="B548" s="10"/>
      <c r="C548" s="10"/>
      <c r="D548" s="10"/>
      <c r="E548" s="10"/>
      <c r="F548" s="10"/>
      <c r="G548" s="120"/>
      <c r="H548" s="194"/>
      <c r="I548" s="194"/>
      <c r="J548" s="120"/>
      <c r="K548" s="120"/>
      <c r="L548" s="10"/>
      <c r="Z548" s="122"/>
    </row>
    <row r="549">
      <c r="A549" s="10"/>
      <c r="B549" s="10"/>
      <c r="C549" s="10"/>
      <c r="D549" s="10"/>
      <c r="E549" s="10"/>
      <c r="F549" s="10"/>
      <c r="G549" s="120"/>
      <c r="H549" s="194"/>
      <c r="I549" s="194"/>
      <c r="J549" s="120"/>
      <c r="K549" s="120"/>
      <c r="L549" s="10"/>
      <c r="Z549" s="122"/>
    </row>
    <row r="550">
      <c r="A550" s="10"/>
      <c r="B550" s="10"/>
      <c r="C550" s="10"/>
      <c r="D550" s="10"/>
      <c r="E550" s="10"/>
      <c r="F550" s="10"/>
      <c r="G550" s="120"/>
      <c r="H550" s="194"/>
      <c r="I550" s="194"/>
      <c r="J550" s="120"/>
      <c r="K550" s="120"/>
      <c r="L550" s="10"/>
      <c r="Z550" s="122"/>
    </row>
    <row r="551">
      <c r="A551" s="10"/>
      <c r="B551" s="10"/>
      <c r="C551" s="10"/>
      <c r="D551" s="10"/>
      <c r="E551" s="10"/>
      <c r="F551" s="10"/>
      <c r="G551" s="120"/>
      <c r="H551" s="194"/>
      <c r="I551" s="194"/>
      <c r="J551" s="120"/>
      <c r="K551" s="120"/>
      <c r="L551" s="10"/>
      <c r="Z551" s="122"/>
    </row>
    <row r="552">
      <c r="A552" s="10"/>
      <c r="B552" s="10"/>
      <c r="C552" s="10"/>
      <c r="D552" s="10"/>
      <c r="E552" s="10"/>
      <c r="F552" s="10"/>
      <c r="G552" s="120"/>
      <c r="H552" s="194"/>
      <c r="I552" s="194"/>
      <c r="J552" s="120"/>
      <c r="K552" s="120"/>
      <c r="L552" s="10"/>
      <c r="Z552" s="122"/>
    </row>
    <row r="553">
      <c r="A553" s="10"/>
      <c r="B553" s="10"/>
      <c r="C553" s="10"/>
      <c r="D553" s="10"/>
      <c r="E553" s="10"/>
      <c r="F553" s="10"/>
      <c r="G553" s="120"/>
      <c r="H553" s="194"/>
      <c r="I553" s="194"/>
      <c r="J553" s="120"/>
      <c r="K553" s="120"/>
      <c r="L553" s="10"/>
      <c r="Z553" s="122"/>
    </row>
    <row r="554">
      <c r="A554" s="10"/>
      <c r="B554" s="10"/>
      <c r="C554" s="10"/>
      <c r="D554" s="10"/>
      <c r="E554" s="10"/>
      <c r="F554" s="10"/>
      <c r="G554" s="120"/>
      <c r="H554" s="194"/>
      <c r="I554" s="194"/>
      <c r="J554" s="120"/>
      <c r="K554" s="120"/>
      <c r="L554" s="10"/>
      <c r="Z554" s="122"/>
    </row>
    <row r="555">
      <c r="A555" s="10"/>
      <c r="B555" s="10"/>
      <c r="C555" s="10"/>
      <c r="D555" s="10"/>
      <c r="E555" s="10"/>
      <c r="F555" s="10"/>
      <c r="G555" s="120"/>
      <c r="H555" s="194"/>
      <c r="I555" s="194"/>
      <c r="J555" s="120"/>
      <c r="K555" s="120"/>
      <c r="L555" s="10"/>
      <c r="Z555" s="122"/>
    </row>
    <row r="556">
      <c r="A556" s="10"/>
      <c r="B556" s="10"/>
      <c r="C556" s="10"/>
      <c r="D556" s="10"/>
      <c r="E556" s="10"/>
      <c r="F556" s="10"/>
      <c r="G556" s="120"/>
      <c r="H556" s="194"/>
      <c r="I556" s="194"/>
      <c r="J556" s="120"/>
      <c r="K556" s="120"/>
      <c r="L556" s="10"/>
      <c r="Z556" s="122"/>
    </row>
    <row r="557">
      <c r="A557" s="10"/>
      <c r="B557" s="10"/>
      <c r="C557" s="10"/>
      <c r="D557" s="10"/>
      <c r="E557" s="10"/>
      <c r="F557" s="10"/>
      <c r="G557" s="120"/>
      <c r="H557" s="194"/>
      <c r="I557" s="194"/>
      <c r="J557" s="120"/>
      <c r="K557" s="120"/>
      <c r="L557" s="10"/>
      <c r="Z557" s="122"/>
    </row>
    <row r="558">
      <c r="A558" s="10"/>
      <c r="B558" s="10"/>
      <c r="C558" s="10"/>
      <c r="D558" s="10"/>
      <c r="E558" s="10"/>
      <c r="F558" s="10"/>
      <c r="G558" s="120"/>
      <c r="H558" s="194"/>
      <c r="I558" s="194"/>
      <c r="J558" s="120"/>
      <c r="K558" s="120"/>
      <c r="L558" s="10"/>
      <c r="Z558" s="122"/>
    </row>
    <row r="559">
      <c r="A559" s="10"/>
      <c r="B559" s="10"/>
      <c r="C559" s="10"/>
      <c r="D559" s="10"/>
      <c r="E559" s="10"/>
      <c r="F559" s="10"/>
      <c r="G559" s="120"/>
      <c r="H559" s="194"/>
      <c r="I559" s="194"/>
      <c r="J559" s="120"/>
      <c r="K559" s="120"/>
      <c r="L559" s="10"/>
      <c r="Z559" s="122"/>
    </row>
    <row r="560">
      <c r="A560" s="10"/>
      <c r="B560" s="10"/>
      <c r="C560" s="10"/>
      <c r="D560" s="10"/>
      <c r="E560" s="10"/>
      <c r="F560" s="10"/>
      <c r="G560" s="120"/>
      <c r="H560" s="194"/>
      <c r="I560" s="194"/>
      <c r="J560" s="120"/>
      <c r="K560" s="120"/>
      <c r="L560" s="10"/>
      <c r="Z560" s="122"/>
    </row>
    <row r="561">
      <c r="A561" s="10"/>
      <c r="B561" s="10"/>
      <c r="C561" s="10"/>
      <c r="D561" s="10"/>
      <c r="E561" s="10"/>
      <c r="F561" s="10"/>
      <c r="G561" s="120"/>
      <c r="H561" s="194"/>
      <c r="I561" s="194"/>
      <c r="J561" s="120"/>
      <c r="K561" s="120"/>
      <c r="L561" s="10"/>
      <c r="Z561" s="122"/>
    </row>
    <row r="562">
      <c r="A562" s="10"/>
      <c r="B562" s="10"/>
      <c r="C562" s="10"/>
      <c r="D562" s="10"/>
      <c r="E562" s="10"/>
      <c r="F562" s="10"/>
      <c r="G562" s="120"/>
      <c r="H562" s="194"/>
      <c r="I562" s="194"/>
      <c r="J562" s="120"/>
      <c r="K562" s="120"/>
      <c r="L562" s="10"/>
      <c r="Z562" s="122"/>
    </row>
    <row r="563">
      <c r="A563" s="10"/>
      <c r="B563" s="10"/>
      <c r="C563" s="10"/>
      <c r="D563" s="10"/>
      <c r="E563" s="10"/>
      <c r="F563" s="10"/>
      <c r="G563" s="120"/>
      <c r="H563" s="194"/>
      <c r="I563" s="194"/>
      <c r="J563" s="120"/>
      <c r="K563" s="120"/>
      <c r="L563" s="10"/>
      <c r="Z563" s="122"/>
    </row>
    <row r="564">
      <c r="A564" s="10"/>
      <c r="B564" s="10"/>
      <c r="C564" s="10"/>
      <c r="D564" s="10"/>
      <c r="E564" s="10"/>
      <c r="F564" s="10"/>
      <c r="G564" s="120"/>
      <c r="H564" s="194"/>
      <c r="I564" s="194"/>
      <c r="J564" s="120"/>
      <c r="K564" s="120"/>
      <c r="L564" s="10"/>
      <c r="Z564" s="122"/>
    </row>
    <row r="565">
      <c r="A565" s="10"/>
      <c r="B565" s="10"/>
      <c r="C565" s="10"/>
      <c r="D565" s="10"/>
      <c r="E565" s="10"/>
      <c r="F565" s="10"/>
      <c r="G565" s="120"/>
      <c r="H565" s="194"/>
      <c r="I565" s="194"/>
      <c r="J565" s="120"/>
      <c r="K565" s="120"/>
      <c r="L565" s="10"/>
      <c r="Z565" s="122"/>
    </row>
    <row r="566">
      <c r="A566" s="10"/>
      <c r="B566" s="10"/>
      <c r="C566" s="10"/>
      <c r="D566" s="10"/>
      <c r="E566" s="10"/>
      <c r="F566" s="10"/>
      <c r="G566" s="120"/>
      <c r="H566" s="194"/>
      <c r="I566" s="194"/>
      <c r="J566" s="120"/>
      <c r="K566" s="120"/>
      <c r="L566" s="10"/>
      <c r="Z566" s="122"/>
    </row>
    <row r="567">
      <c r="A567" s="10"/>
      <c r="B567" s="10"/>
      <c r="C567" s="10"/>
      <c r="D567" s="10"/>
      <c r="E567" s="10"/>
      <c r="F567" s="10"/>
      <c r="G567" s="120"/>
      <c r="H567" s="194"/>
      <c r="I567" s="194"/>
      <c r="J567" s="120"/>
      <c r="K567" s="120"/>
      <c r="L567" s="10"/>
      <c r="Z567" s="122"/>
    </row>
    <row r="568">
      <c r="A568" s="10"/>
      <c r="B568" s="10"/>
      <c r="C568" s="10"/>
      <c r="D568" s="10"/>
      <c r="E568" s="10"/>
      <c r="F568" s="10"/>
      <c r="G568" s="120"/>
      <c r="H568" s="194"/>
      <c r="I568" s="194"/>
      <c r="J568" s="120"/>
      <c r="K568" s="120"/>
      <c r="L568" s="10"/>
      <c r="Z568" s="122"/>
    </row>
    <row r="569">
      <c r="A569" s="10"/>
      <c r="B569" s="10"/>
      <c r="C569" s="10"/>
      <c r="D569" s="10"/>
      <c r="E569" s="10"/>
      <c r="F569" s="10"/>
      <c r="G569" s="120"/>
      <c r="H569" s="194"/>
      <c r="I569" s="194"/>
      <c r="J569" s="120"/>
      <c r="K569" s="120"/>
      <c r="L569" s="10"/>
      <c r="Z569" s="122"/>
    </row>
    <row r="570">
      <c r="A570" s="10"/>
      <c r="B570" s="10"/>
      <c r="C570" s="10"/>
      <c r="D570" s="10"/>
      <c r="E570" s="10"/>
      <c r="F570" s="10"/>
      <c r="G570" s="120"/>
      <c r="H570" s="194"/>
      <c r="I570" s="194"/>
      <c r="J570" s="120"/>
      <c r="K570" s="120"/>
      <c r="L570" s="10"/>
      <c r="Z570" s="122"/>
    </row>
    <row r="571">
      <c r="A571" s="10"/>
      <c r="B571" s="10"/>
      <c r="C571" s="10"/>
      <c r="D571" s="10"/>
      <c r="E571" s="10"/>
      <c r="F571" s="10"/>
      <c r="G571" s="120"/>
      <c r="H571" s="194"/>
      <c r="I571" s="194"/>
      <c r="J571" s="120"/>
      <c r="K571" s="120"/>
      <c r="L571" s="10"/>
      <c r="Z571" s="122"/>
    </row>
    <row r="572">
      <c r="A572" s="10"/>
      <c r="B572" s="10"/>
      <c r="C572" s="10"/>
      <c r="D572" s="10"/>
      <c r="E572" s="10"/>
      <c r="F572" s="10"/>
      <c r="G572" s="120"/>
      <c r="H572" s="194"/>
      <c r="I572" s="194"/>
      <c r="J572" s="120"/>
      <c r="K572" s="120"/>
      <c r="L572" s="10"/>
      <c r="Z572" s="122"/>
    </row>
    <row r="573">
      <c r="A573" s="10"/>
      <c r="B573" s="10"/>
      <c r="C573" s="10"/>
      <c r="D573" s="10"/>
      <c r="E573" s="10"/>
      <c r="F573" s="10"/>
      <c r="G573" s="120"/>
      <c r="H573" s="194"/>
      <c r="I573" s="194"/>
      <c r="J573" s="120"/>
      <c r="K573" s="120"/>
      <c r="L573" s="10"/>
      <c r="Z573" s="122"/>
    </row>
    <row r="574">
      <c r="A574" s="10"/>
      <c r="B574" s="10"/>
      <c r="C574" s="10"/>
      <c r="D574" s="10"/>
      <c r="E574" s="10"/>
      <c r="F574" s="10"/>
      <c r="G574" s="120"/>
      <c r="H574" s="194"/>
      <c r="I574" s="194"/>
      <c r="J574" s="120"/>
      <c r="K574" s="120"/>
      <c r="L574" s="10"/>
      <c r="Z574" s="122"/>
    </row>
    <row r="575">
      <c r="A575" s="10"/>
      <c r="B575" s="10"/>
      <c r="C575" s="10"/>
      <c r="D575" s="10"/>
      <c r="E575" s="10"/>
      <c r="F575" s="10"/>
      <c r="G575" s="120"/>
      <c r="H575" s="194"/>
      <c r="I575" s="194"/>
      <c r="J575" s="120"/>
      <c r="K575" s="120"/>
      <c r="L575" s="10"/>
      <c r="Z575" s="122"/>
    </row>
    <row r="576">
      <c r="A576" s="10"/>
      <c r="B576" s="10"/>
      <c r="C576" s="10"/>
      <c r="D576" s="10"/>
      <c r="E576" s="10"/>
      <c r="F576" s="10"/>
      <c r="G576" s="120"/>
      <c r="H576" s="194"/>
      <c r="I576" s="194"/>
      <c r="J576" s="120"/>
      <c r="K576" s="120"/>
      <c r="L576" s="10"/>
      <c r="Z576" s="122"/>
    </row>
    <row r="577">
      <c r="A577" s="10"/>
      <c r="B577" s="10"/>
      <c r="C577" s="10"/>
      <c r="D577" s="10"/>
      <c r="E577" s="10"/>
      <c r="F577" s="10"/>
      <c r="G577" s="120"/>
      <c r="H577" s="194"/>
      <c r="I577" s="194"/>
      <c r="J577" s="120"/>
      <c r="K577" s="120"/>
      <c r="L577" s="10"/>
      <c r="Z577" s="122"/>
    </row>
    <row r="578">
      <c r="A578" s="10"/>
      <c r="B578" s="10"/>
      <c r="C578" s="10"/>
      <c r="D578" s="10"/>
      <c r="E578" s="10"/>
      <c r="F578" s="10"/>
      <c r="G578" s="120"/>
      <c r="H578" s="194"/>
      <c r="I578" s="194"/>
      <c r="J578" s="120"/>
      <c r="K578" s="120"/>
      <c r="L578" s="10"/>
      <c r="Z578" s="122"/>
    </row>
    <row r="579">
      <c r="A579" s="10"/>
      <c r="B579" s="10"/>
      <c r="C579" s="10"/>
      <c r="D579" s="10"/>
      <c r="E579" s="10"/>
      <c r="F579" s="10"/>
      <c r="G579" s="120"/>
      <c r="H579" s="194"/>
      <c r="I579" s="194"/>
      <c r="J579" s="120"/>
      <c r="K579" s="120"/>
      <c r="L579" s="10"/>
      <c r="Z579" s="122"/>
    </row>
    <row r="580">
      <c r="A580" s="10"/>
      <c r="B580" s="10"/>
      <c r="C580" s="10"/>
      <c r="D580" s="10"/>
      <c r="E580" s="10"/>
      <c r="F580" s="10"/>
      <c r="G580" s="120"/>
      <c r="H580" s="194"/>
      <c r="I580" s="194"/>
      <c r="J580" s="120"/>
      <c r="K580" s="120"/>
      <c r="L580" s="10"/>
      <c r="Z580" s="122"/>
    </row>
    <row r="581">
      <c r="A581" s="10"/>
      <c r="B581" s="10"/>
      <c r="C581" s="10"/>
      <c r="D581" s="10"/>
      <c r="E581" s="10"/>
      <c r="F581" s="10"/>
      <c r="G581" s="120"/>
      <c r="H581" s="194"/>
      <c r="I581" s="194"/>
      <c r="J581" s="120"/>
      <c r="K581" s="120"/>
      <c r="L581" s="10"/>
      <c r="Z581" s="122"/>
    </row>
    <row r="582">
      <c r="A582" s="10"/>
      <c r="B582" s="10"/>
      <c r="C582" s="10"/>
      <c r="D582" s="10"/>
      <c r="E582" s="10"/>
      <c r="F582" s="10"/>
      <c r="G582" s="120"/>
      <c r="H582" s="194"/>
      <c r="I582" s="194"/>
      <c r="J582" s="120"/>
      <c r="K582" s="120"/>
      <c r="L582" s="10"/>
      <c r="Z582" s="122"/>
    </row>
    <row r="583">
      <c r="A583" s="10"/>
      <c r="B583" s="10"/>
      <c r="C583" s="10"/>
      <c r="D583" s="10"/>
      <c r="E583" s="10"/>
      <c r="F583" s="10"/>
      <c r="G583" s="120"/>
      <c r="H583" s="194"/>
      <c r="I583" s="194"/>
      <c r="J583" s="120"/>
      <c r="K583" s="120"/>
      <c r="L583" s="10"/>
      <c r="Z583" s="122"/>
    </row>
    <row r="584">
      <c r="A584" s="10"/>
      <c r="B584" s="10"/>
      <c r="C584" s="10"/>
      <c r="D584" s="10"/>
      <c r="E584" s="10"/>
      <c r="F584" s="10"/>
      <c r="G584" s="120"/>
      <c r="H584" s="194"/>
      <c r="I584" s="194"/>
      <c r="J584" s="120"/>
      <c r="K584" s="120"/>
      <c r="L584" s="10"/>
      <c r="Z584" s="122"/>
    </row>
    <row r="585">
      <c r="A585" s="10"/>
      <c r="B585" s="10"/>
      <c r="C585" s="10"/>
      <c r="D585" s="10"/>
      <c r="E585" s="10"/>
      <c r="F585" s="10"/>
      <c r="G585" s="120"/>
      <c r="H585" s="194"/>
      <c r="I585" s="194"/>
      <c r="J585" s="120"/>
      <c r="K585" s="120"/>
      <c r="L585" s="10"/>
      <c r="Z585" s="122"/>
    </row>
    <row r="586">
      <c r="A586" s="10"/>
      <c r="B586" s="10"/>
      <c r="C586" s="10"/>
      <c r="D586" s="10"/>
      <c r="E586" s="10"/>
      <c r="F586" s="10"/>
      <c r="G586" s="120"/>
      <c r="H586" s="194"/>
      <c r="I586" s="194"/>
      <c r="J586" s="120"/>
      <c r="K586" s="120"/>
      <c r="L586" s="10"/>
      <c r="Z586" s="122"/>
    </row>
    <row r="587">
      <c r="A587" s="10"/>
      <c r="B587" s="10"/>
      <c r="C587" s="10"/>
      <c r="D587" s="10"/>
      <c r="E587" s="10"/>
      <c r="F587" s="10"/>
      <c r="G587" s="120"/>
      <c r="H587" s="194"/>
      <c r="I587" s="194"/>
      <c r="J587" s="120"/>
      <c r="K587" s="120"/>
      <c r="L587" s="10"/>
      <c r="Z587" s="122"/>
    </row>
    <row r="588">
      <c r="A588" s="10"/>
      <c r="B588" s="10"/>
      <c r="C588" s="10"/>
      <c r="D588" s="10"/>
      <c r="E588" s="10"/>
      <c r="F588" s="10"/>
      <c r="G588" s="120"/>
      <c r="H588" s="194"/>
      <c r="I588" s="194"/>
      <c r="J588" s="120"/>
      <c r="K588" s="120"/>
      <c r="L588" s="10"/>
      <c r="Z588" s="122"/>
    </row>
    <row r="589">
      <c r="A589" s="10"/>
      <c r="B589" s="10"/>
      <c r="C589" s="10"/>
      <c r="D589" s="10"/>
      <c r="E589" s="10"/>
      <c r="F589" s="10"/>
      <c r="G589" s="120"/>
      <c r="H589" s="194"/>
      <c r="I589" s="194"/>
      <c r="J589" s="120"/>
      <c r="K589" s="120"/>
      <c r="L589" s="10"/>
      <c r="Z589" s="122"/>
    </row>
    <row r="590">
      <c r="A590" s="10"/>
      <c r="B590" s="10"/>
      <c r="C590" s="10"/>
      <c r="D590" s="10"/>
      <c r="E590" s="10"/>
      <c r="F590" s="10"/>
      <c r="G590" s="120"/>
      <c r="H590" s="194"/>
      <c r="I590" s="194"/>
      <c r="J590" s="120"/>
      <c r="K590" s="120"/>
      <c r="L590" s="10"/>
      <c r="Z590" s="122"/>
    </row>
    <row r="591">
      <c r="A591" s="10"/>
      <c r="B591" s="10"/>
      <c r="C591" s="10"/>
      <c r="D591" s="10"/>
      <c r="E591" s="10"/>
      <c r="F591" s="10"/>
      <c r="G591" s="120"/>
      <c r="H591" s="194"/>
      <c r="I591" s="194"/>
      <c r="J591" s="120"/>
      <c r="K591" s="120"/>
      <c r="L591" s="10"/>
      <c r="Z591" s="122"/>
    </row>
    <row r="592">
      <c r="A592" s="10"/>
      <c r="B592" s="10"/>
      <c r="C592" s="10"/>
      <c r="D592" s="10"/>
      <c r="E592" s="10"/>
      <c r="F592" s="10"/>
      <c r="G592" s="120"/>
      <c r="H592" s="194"/>
      <c r="I592" s="194"/>
      <c r="J592" s="120"/>
      <c r="K592" s="120"/>
      <c r="L592" s="10"/>
      <c r="Z592" s="122"/>
    </row>
    <row r="593">
      <c r="A593" s="10"/>
      <c r="B593" s="10"/>
      <c r="C593" s="10"/>
      <c r="D593" s="10"/>
      <c r="E593" s="10"/>
      <c r="F593" s="10"/>
      <c r="G593" s="120"/>
      <c r="H593" s="194"/>
      <c r="I593" s="194"/>
      <c r="J593" s="120"/>
      <c r="K593" s="120"/>
      <c r="L593" s="10"/>
      <c r="Z593" s="122"/>
    </row>
    <row r="594">
      <c r="A594" s="10"/>
      <c r="B594" s="10"/>
      <c r="C594" s="10"/>
      <c r="D594" s="10"/>
      <c r="E594" s="10"/>
      <c r="F594" s="10"/>
      <c r="G594" s="120"/>
      <c r="H594" s="194"/>
      <c r="I594" s="194"/>
      <c r="J594" s="120"/>
      <c r="K594" s="120"/>
      <c r="L594" s="10"/>
      <c r="Z594" s="122"/>
    </row>
    <row r="595">
      <c r="A595" s="10"/>
      <c r="B595" s="10"/>
      <c r="C595" s="10"/>
      <c r="D595" s="10"/>
      <c r="E595" s="10"/>
      <c r="F595" s="10"/>
      <c r="G595" s="120"/>
      <c r="H595" s="194"/>
      <c r="I595" s="194"/>
      <c r="J595" s="120"/>
      <c r="K595" s="120"/>
      <c r="L595" s="10"/>
      <c r="Z595" s="122"/>
    </row>
    <row r="596">
      <c r="A596" s="10"/>
      <c r="B596" s="10"/>
      <c r="C596" s="10"/>
      <c r="D596" s="10"/>
      <c r="E596" s="10"/>
      <c r="F596" s="10"/>
      <c r="G596" s="120"/>
      <c r="H596" s="194"/>
      <c r="I596" s="194"/>
      <c r="J596" s="120"/>
      <c r="K596" s="120"/>
      <c r="L596" s="10"/>
      <c r="Z596" s="122"/>
    </row>
    <row r="597">
      <c r="A597" s="10"/>
      <c r="B597" s="10"/>
      <c r="C597" s="10"/>
      <c r="D597" s="10"/>
      <c r="E597" s="10"/>
      <c r="F597" s="10"/>
      <c r="G597" s="120"/>
      <c r="H597" s="194"/>
      <c r="I597" s="194"/>
      <c r="J597" s="120"/>
      <c r="K597" s="120"/>
      <c r="L597" s="10"/>
      <c r="Z597" s="122"/>
    </row>
    <row r="598">
      <c r="A598" s="10"/>
      <c r="B598" s="10"/>
      <c r="C598" s="10"/>
      <c r="D598" s="10"/>
      <c r="E598" s="10"/>
      <c r="F598" s="10"/>
      <c r="G598" s="120"/>
      <c r="H598" s="194"/>
      <c r="I598" s="194"/>
      <c r="J598" s="120"/>
      <c r="K598" s="120"/>
      <c r="L598" s="10"/>
      <c r="Z598" s="122"/>
    </row>
    <row r="599">
      <c r="A599" s="10"/>
      <c r="B599" s="10"/>
      <c r="C599" s="10"/>
      <c r="D599" s="10"/>
      <c r="E599" s="10"/>
      <c r="F599" s="10"/>
      <c r="G599" s="120"/>
      <c r="H599" s="194"/>
      <c r="I599" s="194"/>
      <c r="J599" s="120"/>
      <c r="K599" s="120"/>
      <c r="L599" s="10"/>
      <c r="Z599" s="122"/>
    </row>
    <row r="600">
      <c r="A600" s="10"/>
      <c r="B600" s="10"/>
      <c r="C600" s="10"/>
      <c r="D600" s="10"/>
      <c r="E600" s="10"/>
      <c r="F600" s="10"/>
      <c r="G600" s="120"/>
      <c r="H600" s="194"/>
      <c r="I600" s="194"/>
      <c r="J600" s="120"/>
      <c r="K600" s="120"/>
      <c r="L600" s="10"/>
      <c r="Z600" s="122"/>
    </row>
    <row r="601">
      <c r="A601" s="10"/>
      <c r="B601" s="10"/>
      <c r="C601" s="10"/>
      <c r="D601" s="10"/>
      <c r="E601" s="10"/>
      <c r="F601" s="10"/>
      <c r="G601" s="120"/>
      <c r="H601" s="194"/>
      <c r="I601" s="194"/>
      <c r="J601" s="120"/>
      <c r="K601" s="120"/>
      <c r="L601" s="10"/>
      <c r="Z601" s="122"/>
    </row>
    <row r="602">
      <c r="A602" s="10"/>
      <c r="B602" s="10"/>
      <c r="C602" s="10"/>
      <c r="D602" s="10"/>
      <c r="E602" s="10"/>
      <c r="F602" s="10"/>
      <c r="G602" s="120"/>
      <c r="H602" s="194"/>
      <c r="I602" s="194"/>
      <c r="J602" s="120"/>
      <c r="K602" s="120"/>
      <c r="L602" s="10"/>
      <c r="Z602" s="122"/>
    </row>
    <row r="603">
      <c r="A603" s="10"/>
      <c r="B603" s="10"/>
      <c r="C603" s="10"/>
      <c r="D603" s="10"/>
      <c r="E603" s="10"/>
      <c r="F603" s="10"/>
      <c r="G603" s="120"/>
      <c r="H603" s="194"/>
      <c r="I603" s="194"/>
      <c r="J603" s="120"/>
      <c r="K603" s="120"/>
      <c r="L603" s="10"/>
      <c r="Z603" s="122"/>
    </row>
    <row r="604">
      <c r="A604" s="10"/>
      <c r="B604" s="10"/>
      <c r="C604" s="10"/>
      <c r="D604" s="10"/>
      <c r="E604" s="10"/>
      <c r="F604" s="10"/>
      <c r="G604" s="120"/>
      <c r="H604" s="194"/>
      <c r="I604" s="194"/>
      <c r="J604" s="120"/>
      <c r="K604" s="120"/>
      <c r="L604" s="10"/>
      <c r="Z604" s="122"/>
    </row>
    <row r="605">
      <c r="A605" s="10"/>
      <c r="B605" s="10"/>
      <c r="C605" s="10"/>
      <c r="D605" s="10"/>
      <c r="E605" s="10"/>
      <c r="F605" s="10"/>
      <c r="G605" s="120"/>
      <c r="H605" s="194"/>
      <c r="I605" s="194"/>
      <c r="J605" s="120"/>
      <c r="K605" s="120"/>
      <c r="L605" s="10"/>
      <c r="Z605" s="122"/>
    </row>
    <row r="606">
      <c r="A606" s="10"/>
      <c r="B606" s="10"/>
      <c r="C606" s="10"/>
      <c r="D606" s="10"/>
      <c r="E606" s="10"/>
      <c r="F606" s="10"/>
      <c r="G606" s="120"/>
      <c r="H606" s="194"/>
      <c r="I606" s="194"/>
      <c r="J606" s="120"/>
      <c r="K606" s="120"/>
      <c r="L606" s="10"/>
      <c r="Z606" s="122"/>
    </row>
    <row r="607">
      <c r="A607" s="10"/>
      <c r="B607" s="10"/>
      <c r="C607" s="10"/>
      <c r="D607" s="10"/>
      <c r="E607" s="10"/>
      <c r="F607" s="10"/>
      <c r="G607" s="120"/>
      <c r="H607" s="194"/>
      <c r="I607" s="194"/>
      <c r="J607" s="120"/>
      <c r="K607" s="120"/>
      <c r="L607" s="10"/>
      <c r="Z607" s="122"/>
    </row>
    <row r="608">
      <c r="A608" s="10"/>
      <c r="B608" s="10"/>
      <c r="C608" s="10"/>
      <c r="D608" s="10"/>
      <c r="E608" s="10"/>
      <c r="F608" s="10"/>
      <c r="G608" s="120"/>
      <c r="H608" s="194"/>
      <c r="I608" s="194"/>
      <c r="J608" s="120"/>
      <c r="K608" s="120"/>
      <c r="L608" s="10"/>
      <c r="Z608" s="122"/>
    </row>
    <row r="609">
      <c r="A609" s="10"/>
      <c r="B609" s="10"/>
      <c r="C609" s="10"/>
      <c r="D609" s="10"/>
      <c r="E609" s="10"/>
      <c r="F609" s="10"/>
      <c r="G609" s="120"/>
      <c r="H609" s="194"/>
      <c r="I609" s="194"/>
      <c r="J609" s="120"/>
      <c r="K609" s="120"/>
      <c r="L609" s="10"/>
      <c r="Z609" s="122"/>
    </row>
    <row r="610">
      <c r="A610" s="10"/>
      <c r="B610" s="10"/>
      <c r="C610" s="10"/>
      <c r="D610" s="10"/>
      <c r="E610" s="10"/>
      <c r="F610" s="10"/>
      <c r="G610" s="120"/>
      <c r="H610" s="194"/>
      <c r="I610" s="194"/>
      <c r="J610" s="120"/>
      <c r="K610" s="120"/>
      <c r="L610" s="10"/>
      <c r="Z610" s="122"/>
    </row>
    <row r="611">
      <c r="A611" s="10"/>
      <c r="B611" s="10"/>
      <c r="C611" s="10"/>
      <c r="D611" s="10"/>
      <c r="E611" s="10"/>
      <c r="F611" s="10"/>
      <c r="G611" s="120"/>
      <c r="H611" s="194"/>
      <c r="I611" s="194"/>
      <c r="J611" s="120"/>
      <c r="K611" s="120"/>
      <c r="L611" s="10"/>
      <c r="Z611" s="122"/>
    </row>
    <row r="612">
      <c r="A612" s="10"/>
      <c r="B612" s="10"/>
      <c r="C612" s="10"/>
      <c r="D612" s="10"/>
      <c r="E612" s="10"/>
      <c r="F612" s="10"/>
      <c r="G612" s="120"/>
      <c r="H612" s="194"/>
      <c r="I612" s="194"/>
      <c r="J612" s="120"/>
      <c r="K612" s="120"/>
      <c r="L612" s="10"/>
      <c r="Z612" s="122"/>
    </row>
    <row r="613">
      <c r="A613" s="10"/>
      <c r="B613" s="10"/>
      <c r="C613" s="10"/>
      <c r="D613" s="10"/>
      <c r="E613" s="10"/>
      <c r="F613" s="10"/>
      <c r="G613" s="120"/>
      <c r="H613" s="194"/>
      <c r="I613" s="194"/>
      <c r="J613" s="120"/>
      <c r="K613" s="120"/>
      <c r="L613" s="10"/>
      <c r="Z613" s="122"/>
    </row>
    <row r="614">
      <c r="A614" s="10"/>
      <c r="B614" s="10"/>
      <c r="C614" s="10"/>
      <c r="D614" s="10"/>
      <c r="E614" s="10"/>
      <c r="F614" s="10"/>
      <c r="G614" s="120"/>
      <c r="H614" s="194"/>
      <c r="I614" s="194"/>
      <c r="J614" s="120"/>
      <c r="K614" s="120"/>
      <c r="L614" s="10"/>
      <c r="Z614" s="122"/>
    </row>
    <row r="615">
      <c r="A615" s="10"/>
      <c r="B615" s="10"/>
      <c r="C615" s="10"/>
      <c r="D615" s="10"/>
      <c r="E615" s="10"/>
      <c r="F615" s="10"/>
      <c r="G615" s="120"/>
      <c r="H615" s="194"/>
      <c r="I615" s="194"/>
      <c r="J615" s="120"/>
      <c r="K615" s="120"/>
      <c r="L615" s="10"/>
      <c r="Z615" s="122"/>
    </row>
    <row r="616">
      <c r="A616" s="10"/>
      <c r="B616" s="10"/>
      <c r="C616" s="10"/>
      <c r="D616" s="10"/>
      <c r="E616" s="10"/>
      <c r="F616" s="10"/>
      <c r="G616" s="120"/>
      <c r="H616" s="194"/>
      <c r="I616" s="194"/>
      <c r="J616" s="120"/>
      <c r="K616" s="120"/>
      <c r="L616" s="10"/>
      <c r="Z616" s="122"/>
    </row>
    <row r="617">
      <c r="A617" s="10"/>
      <c r="B617" s="10"/>
      <c r="C617" s="10"/>
      <c r="D617" s="10"/>
      <c r="E617" s="10"/>
      <c r="F617" s="10"/>
      <c r="G617" s="120"/>
      <c r="H617" s="194"/>
      <c r="I617" s="194"/>
      <c r="J617" s="120"/>
      <c r="K617" s="120"/>
      <c r="L617" s="10"/>
      <c r="Z617" s="122"/>
    </row>
    <row r="618">
      <c r="A618" s="10"/>
      <c r="B618" s="10"/>
      <c r="C618" s="10"/>
      <c r="D618" s="10"/>
      <c r="E618" s="10"/>
      <c r="F618" s="10"/>
      <c r="G618" s="120"/>
      <c r="H618" s="194"/>
      <c r="I618" s="194"/>
      <c r="J618" s="120"/>
      <c r="K618" s="120"/>
      <c r="L618" s="10"/>
      <c r="Z618" s="122"/>
    </row>
    <row r="619">
      <c r="A619" s="10"/>
      <c r="B619" s="10"/>
      <c r="C619" s="10"/>
      <c r="D619" s="10"/>
      <c r="E619" s="10"/>
      <c r="F619" s="10"/>
      <c r="G619" s="120"/>
      <c r="H619" s="194"/>
      <c r="I619" s="194"/>
      <c r="J619" s="120"/>
      <c r="K619" s="120"/>
      <c r="L619" s="10"/>
      <c r="Z619" s="122"/>
    </row>
    <row r="620">
      <c r="A620" s="10"/>
      <c r="B620" s="10"/>
      <c r="C620" s="10"/>
      <c r="D620" s="10"/>
      <c r="E620" s="10"/>
      <c r="F620" s="10"/>
      <c r="G620" s="120"/>
      <c r="H620" s="194"/>
      <c r="I620" s="194"/>
      <c r="J620" s="120"/>
      <c r="K620" s="120"/>
      <c r="L620" s="10"/>
      <c r="Z620" s="122"/>
    </row>
    <row r="621">
      <c r="A621" s="10"/>
      <c r="B621" s="10"/>
      <c r="C621" s="10"/>
      <c r="D621" s="10"/>
      <c r="E621" s="10"/>
      <c r="F621" s="10"/>
      <c r="G621" s="120"/>
      <c r="H621" s="194"/>
      <c r="I621" s="194"/>
      <c r="J621" s="120"/>
      <c r="K621" s="120"/>
      <c r="L621" s="10"/>
      <c r="Z621" s="122"/>
    </row>
    <row r="622">
      <c r="A622" s="10"/>
      <c r="B622" s="10"/>
      <c r="C622" s="10"/>
      <c r="D622" s="10"/>
      <c r="E622" s="10"/>
      <c r="F622" s="10"/>
      <c r="G622" s="120"/>
      <c r="H622" s="194"/>
      <c r="I622" s="194"/>
      <c r="J622" s="120"/>
      <c r="K622" s="120"/>
      <c r="L622" s="10"/>
      <c r="Z622" s="122"/>
    </row>
    <row r="623">
      <c r="A623" s="10"/>
      <c r="B623" s="10"/>
      <c r="C623" s="10"/>
      <c r="D623" s="10"/>
      <c r="E623" s="10"/>
      <c r="F623" s="10"/>
      <c r="G623" s="120"/>
      <c r="H623" s="194"/>
      <c r="I623" s="194"/>
      <c r="J623" s="120"/>
      <c r="K623" s="120"/>
      <c r="L623" s="10"/>
      <c r="Z623" s="122"/>
    </row>
    <row r="624">
      <c r="A624" s="10"/>
      <c r="B624" s="10"/>
      <c r="C624" s="10"/>
      <c r="D624" s="10"/>
      <c r="E624" s="10"/>
      <c r="F624" s="10"/>
      <c r="G624" s="120"/>
      <c r="H624" s="194"/>
      <c r="I624" s="194"/>
      <c r="J624" s="120"/>
      <c r="K624" s="120"/>
      <c r="L624" s="10"/>
      <c r="Z624" s="122"/>
    </row>
    <row r="625">
      <c r="A625" s="10"/>
      <c r="B625" s="10"/>
      <c r="C625" s="10"/>
      <c r="D625" s="10"/>
      <c r="E625" s="10"/>
      <c r="F625" s="10"/>
      <c r="G625" s="120"/>
      <c r="H625" s="194"/>
      <c r="I625" s="194"/>
      <c r="J625" s="120"/>
      <c r="K625" s="120"/>
      <c r="L625" s="10"/>
      <c r="Z625" s="122"/>
    </row>
    <row r="626">
      <c r="A626" s="10"/>
      <c r="B626" s="10"/>
      <c r="C626" s="10"/>
      <c r="D626" s="10"/>
      <c r="E626" s="10"/>
      <c r="F626" s="10"/>
      <c r="G626" s="120"/>
      <c r="H626" s="194"/>
      <c r="I626" s="194"/>
      <c r="J626" s="120"/>
      <c r="K626" s="120"/>
      <c r="L626" s="10"/>
      <c r="Z626" s="122"/>
    </row>
    <row r="627">
      <c r="A627" s="10"/>
      <c r="B627" s="10"/>
      <c r="C627" s="10"/>
      <c r="D627" s="10"/>
      <c r="E627" s="10"/>
      <c r="F627" s="10"/>
      <c r="G627" s="120"/>
      <c r="H627" s="194"/>
      <c r="I627" s="194"/>
      <c r="J627" s="120"/>
      <c r="K627" s="120"/>
      <c r="L627" s="10"/>
      <c r="Z627" s="122"/>
    </row>
    <row r="628">
      <c r="A628" s="10"/>
      <c r="B628" s="10"/>
      <c r="C628" s="10"/>
      <c r="D628" s="10"/>
      <c r="E628" s="10"/>
      <c r="F628" s="10"/>
      <c r="G628" s="120"/>
      <c r="H628" s="194"/>
      <c r="I628" s="194"/>
      <c r="J628" s="120"/>
      <c r="K628" s="120"/>
      <c r="L628" s="10"/>
      <c r="Z628" s="122"/>
    </row>
    <row r="629">
      <c r="A629" s="10"/>
      <c r="B629" s="10"/>
      <c r="C629" s="10"/>
      <c r="D629" s="10"/>
      <c r="E629" s="10"/>
      <c r="F629" s="10"/>
      <c r="G629" s="120"/>
      <c r="H629" s="194"/>
      <c r="I629" s="194"/>
      <c r="J629" s="120"/>
      <c r="K629" s="120"/>
      <c r="L629" s="10"/>
      <c r="Z629" s="122"/>
    </row>
    <row r="630">
      <c r="A630" s="10"/>
      <c r="B630" s="10"/>
      <c r="C630" s="10"/>
      <c r="D630" s="10"/>
      <c r="E630" s="10"/>
      <c r="F630" s="10"/>
      <c r="G630" s="120"/>
      <c r="H630" s="194"/>
      <c r="I630" s="194"/>
      <c r="J630" s="120"/>
      <c r="K630" s="120"/>
      <c r="L630" s="10"/>
      <c r="Z630" s="122"/>
    </row>
    <row r="631">
      <c r="A631" s="10"/>
      <c r="B631" s="10"/>
      <c r="C631" s="10"/>
      <c r="D631" s="10"/>
      <c r="E631" s="10"/>
      <c r="F631" s="10"/>
      <c r="G631" s="120"/>
      <c r="H631" s="194"/>
      <c r="I631" s="194"/>
      <c r="J631" s="120"/>
      <c r="K631" s="120"/>
      <c r="L631" s="10"/>
      <c r="Z631" s="122"/>
    </row>
    <row r="632">
      <c r="A632" s="10"/>
      <c r="B632" s="10"/>
      <c r="C632" s="10"/>
      <c r="D632" s="10"/>
      <c r="E632" s="10"/>
      <c r="F632" s="10"/>
      <c r="G632" s="120"/>
      <c r="H632" s="194"/>
      <c r="I632" s="194"/>
      <c r="J632" s="120"/>
      <c r="K632" s="120"/>
      <c r="L632" s="10"/>
      <c r="Z632" s="122"/>
    </row>
    <row r="633">
      <c r="A633" s="10"/>
      <c r="B633" s="10"/>
      <c r="C633" s="10"/>
      <c r="D633" s="10"/>
      <c r="E633" s="10"/>
      <c r="F633" s="10"/>
      <c r="G633" s="120"/>
      <c r="H633" s="194"/>
      <c r="I633" s="194"/>
      <c r="J633" s="120"/>
      <c r="K633" s="120"/>
      <c r="L633" s="10"/>
      <c r="Z633" s="122"/>
    </row>
    <row r="634">
      <c r="A634" s="10"/>
      <c r="B634" s="10"/>
      <c r="C634" s="10"/>
      <c r="D634" s="10"/>
      <c r="E634" s="10"/>
      <c r="F634" s="10"/>
      <c r="G634" s="120"/>
      <c r="H634" s="194"/>
      <c r="I634" s="194"/>
      <c r="J634" s="120"/>
      <c r="K634" s="120"/>
      <c r="L634" s="10"/>
      <c r="Z634" s="122"/>
    </row>
    <row r="635">
      <c r="A635" s="10"/>
      <c r="B635" s="10"/>
      <c r="C635" s="10"/>
      <c r="D635" s="10"/>
      <c r="E635" s="10"/>
      <c r="F635" s="10"/>
      <c r="G635" s="120"/>
      <c r="H635" s="194"/>
      <c r="I635" s="194"/>
      <c r="J635" s="120"/>
      <c r="K635" s="120"/>
      <c r="L635" s="10"/>
      <c r="Z635" s="122"/>
    </row>
    <row r="636">
      <c r="A636" s="10"/>
      <c r="B636" s="10"/>
      <c r="C636" s="10"/>
      <c r="D636" s="10"/>
      <c r="E636" s="10"/>
      <c r="F636" s="10"/>
      <c r="G636" s="120"/>
      <c r="H636" s="194"/>
      <c r="I636" s="194"/>
      <c r="J636" s="120"/>
      <c r="K636" s="120"/>
      <c r="L636" s="10"/>
      <c r="Z636" s="122"/>
    </row>
    <row r="637">
      <c r="A637" s="10"/>
      <c r="B637" s="10"/>
      <c r="C637" s="10"/>
      <c r="D637" s="10"/>
      <c r="E637" s="10"/>
      <c r="F637" s="10"/>
      <c r="G637" s="120"/>
      <c r="H637" s="194"/>
      <c r="I637" s="194"/>
      <c r="J637" s="120"/>
      <c r="K637" s="120"/>
      <c r="L637" s="10"/>
      <c r="Z637" s="122"/>
    </row>
    <row r="638">
      <c r="A638" s="10"/>
      <c r="B638" s="10"/>
      <c r="C638" s="10"/>
      <c r="D638" s="10"/>
      <c r="E638" s="10"/>
      <c r="F638" s="10"/>
      <c r="G638" s="120"/>
      <c r="H638" s="194"/>
      <c r="I638" s="194"/>
      <c r="J638" s="120"/>
      <c r="K638" s="120"/>
      <c r="L638" s="10"/>
      <c r="Z638" s="122"/>
    </row>
    <row r="639">
      <c r="A639" s="10"/>
      <c r="B639" s="10"/>
      <c r="C639" s="10"/>
      <c r="D639" s="10"/>
      <c r="E639" s="10"/>
      <c r="F639" s="10"/>
      <c r="G639" s="120"/>
      <c r="H639" s="194"/>
      <c r="I639" s="194"/>
      <c r="J639" s="120"/>
      <c r="K639" s="120"/>
      <c r="L639" s="10"/>
      <c r="Z639" s="122"/>
    </row>
    <row r="640">
      <c r="A640" s="10"/>
      <c r="B640" s="10"/>
      <c r="C640" s="10"/>
      <c r="D640" s="10"/>
      <c r="E640" s="10"/>
      <c r="F640" s="10"/>
      <c r="G640" s="120"/>
      <c r="H640" s="194"/>
      <c r="I640" s="194"/>
      <c r="J640" s="120"/>
      <c r="K640" s="120"/>
      <c r="L640" s="10"/>
      <c r="Z640" s="122"/>
    </row>
    <row r="641">
      <c r="A641" s="10"/>
      <c r="B641" s="10"/>
      <c r="C641" s="10"/>
      <c r="D641" s="10"/>
      <c r="E641" s="10"/>
      <c r="F641" s="10"/>
      <c r="G641" s="120"/>
      <c r="H641" s="194"/>
      <c r="I641" s="194"/>
      <c r="J641" s="120"/>
      <c r="K641" s="120"/>
      <c r="L641" s="10"/>
      <c r="Z641" s="122"/>
    </row>
    <row r="642">
      <c r="A642" s="10"/>
      <c r="B642" s="10"/>
      <c r="C642" s="10"/>
      <c r="D642" s="10"/>
      <c r="E642" s="10"/>
      <c r="F642" s="10"/>
      <c r="G642" s="120"/>
      <c r="H642" s="194"/>
      <c r="I642" s="194"/>
      <c r="J642" s="120"/>
      <c r="K642" s="120"/>
      <c r="L642" s="10"/>
      <c r="Z642" s="122"/>
    </row>
    <row r="643">
      <c r="A643" s="10"/>
      <c r="B643" s="10"/>
      <c r="C643" s="10"/>
      <c r="D643" s="10"/>
      <c r="E643" s="10"/>
      <c r="F643" s="10"/>
      <c r="G643" s="120"/>
      <c r="H643" s="194"/>
      <c r="I643" s="194"/>
      <c r="J643" s="120"/>
      <c r="K643" s="120"/>
      <c r="L643" s="10"/>
      <c r="Z643" s="122"/>
    </row>
    <row r="644">
      <c r="A644" s="10"/>
      <c r="B644" s="10"/>
      <c r="C644" s="10"/>
      <c r="D644" s="10"/>
      <c r="E644" s="10"/>
      <c r="F644" s="10"/>
      <c r="G644" s="120"/>
      <c r="H644" s="194"/>
      <c r="I644" s="194"/>
      <c r="J644" s="120"/>
      <c r="K644" s="120"/>
      <c r="L644" s="10"/>
      <c r="Z644" s="122"/>
    </row>
    <row r="645">
      <c r="A645" s="10"/>
      <c r="B645" s="10"/>
      <c r="C645" s="10"/>
      <c r="D645" s="10"/>
      <c r="E645" s="10"/>
      <c r="F645" s="10"/>
      <c r="G645" s="120"/>
      <c r="H645" s="194"/>
      <c r="I645" s="194"/>
      <c r="J645" s="120"/>
      <c r="K645" s="120"/>
      <c r="L645" s="10"/>
      <c r="Z645" s="122"/>
    </row>
    <row r="646">
      <c r="A646" s="10"/>
      <c r="B646" s="10"/>
      <c r="C646" s="10"/>
      <c r="D646" s="10"/>
      <c r="E646" s="10"/>
      <c r="F646" s="10"/>
      <c r="G646" s="120"/>
      <c r="H646" s="194"/>
      <c r="I646" s="194"/>
      <c r="J646" s="120"/>
      <c r="K646" s="120"/>
      <c r="L646" s="10"/>
      <c r="Z646" s="122"/>
    </row>
    <row r="647">
      <c r="A647" s="10"/>
      <c r="B647" s="10"/>
      <c r="C647" s="10"/>
      <c r="D647" s="10"/>
      <c r="E647" s="10"/>
      <c r="F647" s="10"/>
      <c r="G647" s="120"/>
      <c r="H647" s="194"/>
      <c r="I647" s="194"/>
      <c r="J647" s="120"/>
      <c r="K647" s="120"/>
      <c r="L647" s="10"/>
      <c r="Z647" s="122"/>
    </row>
    <row r="648">
      <c r="A648" s="10"/>
      <c r="B648" s="10"/>
      <c r="C648" s="10"/>
      <c r="D648" s="10"/>
      <c r="E648" s="10"/>
      <c r="F648" s="10"/>
      <c r="G648" s="120"/>
      <c r="H648" s="194"/>
      <c r="I648" s="194"/>
      <c r="J648" s="120"/>
      <c r="K648" s="120"/>
      <c r="L648" s="10"/>
      <c r="Z648" s="122"/>
    </row>
    <row r="649">
      <c r="A649" s="10"/>
      <c r="B649" s="10"/>
      <c r="C649" s="10"/>
      <c r="D649" s="10"/>
      <c r="E649" s="10"/>
      <c r="F649" s="10"/>
      <c r="G649" s="120"/>
      <c r="H649" s="194"/>
      <c r="I649" s="194"/>
      <c r="J649" s="120"/>
      <c r="K649" s="120"/>
      <c r="L649" s="10"/>
      <c r="Z649" s="122"/>
    </row>
    <row r="650">
      <c r="A650" s="10"/>
      <c r="B650" s="10"/>
      <c r="C650" s="10"/>
      <c r="D650" s="10"/>
      <c r="E650" s="10"/>
      <c r="F650" s="10"/>
      <c r="G650" s="120"/>
      <c r="H650" s="194"/>
      <c r="I650" s="194"/>
      <c r="J650" s="120"/>
      <c r="K650" s="120"/>
      <c r="L650" s="10"/>
      <c r="Z650" s="122"/>
    </row>
    <row r="651">
      <c r="A651" s="10"/>
      <c r="B651" s="10"/>
      <c r="C651" s="10"/>
      <c r="D651" s="10"/>
      <c r="E651" s="10"/>
      <c r="F651" s="10"/>
      <c r="G651" s="120"/>
      <c r="H651" s="194"/>
      <c r="I651" s="194"/>
      <c r="J651" s="120"/>
      <c r="K651" s="120"/>
      <c r="L651" s="10"/>
      <c r="Z651" s="122"/>
    </row>
    <row r="652">
      <c r="A652" s="10"/>
      <c r="B652" s="10"/>
      <c r="C652" s="10"/>
      <c r="D652" s="10"/>
      <c r="E652" s="10"/>
      <c r="F652" s="10"/>
      <c r="G652" s="120"/>
      <c r="H652" s="194"/>
      <c r="I652" s="194"/>
      <c r="J652" s="120"/>
      <c r="K652" s="120"/>
      <c r="L652" s="10"/>
      <c r="Z652" s="122"/>
    </row>
    <row r="653">
      <c r="A653" s="10"/>
      <c r="B653" s="10"/>
      <c r="C653" s="10"/>
      <c r="D653" s="10"/>
      <c r="E653" s="10"/>
      <c r="F653" s="10"/>
      <c r="G653" s="120"/>
      <c r="H653" s="194"/>
      <c r="I653" s="194"/>
      <c r="J653" s="120"/>
      <c r="K653" s="120"/>
      <c r="L653" s="10"/>
      <c r="Z653" s="122"/>
    </row>
    <row r="654">
      <c r="A654" s="10"/>
      <c r="B654" s="10"/>
      <c r="C654" s="10"/>
      <c r="D654" s="10"/>
      <c r="E654" s="10"/>
      <c r="F654" s="10"/>
      <c r="G654" s="120"/>
      <c r="H654" s="194"/>
      <c r="I654" s="194"/>
      <c r="J654" s="120"/>
      <c r="K654" s="120"/>
      <c r="L654" s="10"/>
      <c r="Z654" s="122"/>
    </row>
    <row r="655">
      <c r="A655" s="10"/>
      <c r="B655" s="10"/>
      <c r="C655" s="10"/>
      <c r="D655" s="10"/>
      <c r="E655" s="10"/>
      <c r="F655" s="10"/>
      <c r="G655" s="120"/>
      <c r="H655" s="194"/>
      <c r="I655" s="194"/>
      <c r="J655" s="120"/>
      <c r="K655" s="120"/>
      <c r="L655" s="10"/>
      <c r="Z655" s="122"/>
    </row>
    <row r="656">
      <c r="A656" s="10"/>
      <c r="B656" s="10"/>
      <c r="C656" s="10"/>
      <c r="D656" s="10"/>
      <c r="E656" s="10"/>
      <c r="F656" s="10"/>
      <c r="G656" s="120"/>
      <c r="H656" s="194"/>
      <c r="I656" s="194"/>
      <c r="J656" s="120"/>
      <c r="K656" s="120"/>
      <c r="L656" s="10"/>
      <c r="Z656" s="122"/>
    </row>
    <row r="657">
      <c r="A657" s="10"/>
      <c r="B657" s="10"/>
      <c r="C657" s="10"/>
      <c r="D657" s="10"/>
      <c r="E657" s="10"/>
      <c r="F657" s="10"/>
      <c r="G657" s="120"/>
      <c r="H657" s="194"/>
      <c r="I657" s="194"/>
      <c r="J657" s="120"/>
      <c r="K657" s="120"/>
      <c r="L657" s="10"/>
      <c r="Z657" s="122"/>
    </row>
    <row r="658">
      <c r="A658" s="10"/>
      <c r="B658" s="10"/>
      <c r="C658" s="10"/>
      <c r="D658" s="10"/>
      <c r="E658" s="10"/>
      <c r="F658" s="10"/>
      <c r="G658" s="120"/>
      <c r="H658" s="194"/>
      <c r="I658" s="194"/>
      <c r="J658" s="120"/>
      <c r="K658" s="120"/>
      <c r="L658" s="10"/>
      <c r="Z658" s="122"/>
    </row>
    <row r="659">
      <c r="A659" s="10"/>
      <c r="B659" s="10"/>
      <c r="C659" s="10"/>
      <c r="D659" s="10"/>
      <c r="E659" s="10"/>
      <c r="F659" s="10"/>
      <c r="G659" s="120"/>
      <c r="H659" s="194"/>
      <c r="I659" s="194"/>
      <c r="J659" s="120"/>
      <c r="K659" s="120"/>
      <c r="L659" s="10"/>
      <c r="Z659" s="122"/>
    </row>
    <row r="660">
      <c r="A660" s="10"/>
      <c r="B660" s="10"/>
      <c r="C660" s="10"/>
      <c r="D660" s="10"/>
      <c r="E660" s="10"/>
      <c r="F660" s="10"/>
      <c r="G660" s="120"/>
      <c r="H660" s="194"/>
      <c r="I660" s="194"/>
      <c r="J660" s="120"/>
      <c r="K660" s="120"/>
      <c r="L660" s="10"/>
      <c r="Z660" s="122"/>
    </row>
    <row r="661">
      <c r="A661" s="10"/>
      <c r="B661" s="10"/>
      <c r="C661" s="10"/>
      <c r="D661" s="10"/>
      <c r="E661" s="10"/>
      <c r="F661" s="10"/>
      <c r="G661" s="120"/>
      <c r="H661" s="194"/>
      <c r="I661" s="194"/>
      <c r="J661" s="120"/>
      <c r="K661" s="120"/>
      <c r="L661" s="10"/>
      <c r="Z661" s="122"/>
    </row>
    <row r="662">
      <c r="A662" s="10"/>
      <c r="B662" s="10"/>
      <c r="C662" s="10"/>
      <c r="D662" s="10"/>
      <c r="E662" s="10"/>
      <c r="F662" s="10"/>
      <c r="G662" s="120"/>
      <c r="H662" s="194"/>
      <c r="I662" s="194"/>
      <c r="J662" s="120"/>
      <c r="K662" s="120"/>
      <c r="L662" s="10"/>
      <c r="Z662" s="122"/>
    </row>
    <row r="663">
      <c r="A663" s="10"/>
      <c r="B663" s="10"/>
      <c r="C663" s="10"/>
      <c r="D663" s="10"/>
      <c r="E663" s="10"/>
      <c r="F663" s="10"/>
      <c r="G663" s="120"/>
      <c r="H663" s="194"/>
      <c r="I663" s="194"/>
      <c r="J663" s="120"/>
      <c r="K663" s="120"/>
      <c r="L663" s="10"/>
      <c r="Z663" s="122"/>
    </row>
    <row r="664">
      <c r="A664" s="10"/>
      <c r="B664" s="10"/>
      <c r="C664" s="10"/>
      <c r="D664" s="10"/>
      <c r="E664" s="10"/>
      <c r="F664" s="10"/>
      <c r="G664" s="120"/>
      <c r="H664" s="194"/>
      <c r="I664" s="194"/>
      <c r="J664" s="120"/>
      <c r="K664" s="120"/>
      <c r="L664" s="10"/>
      <c r="Z664" s="122"/>
    </row>
    <row r="665">
      <c r="A665" s="10"/>
      <c r="B665" s="10"/>
      <c r="C665" s="10"/>
      <c r="D665" s="10"/>
      <c r="E665" s="10"/>
      <c r="F665" s="10"/>
      <c r="G665" s="120"/>
      <c r="H665" s="194"/>
      <c r="I665" s="194"/>
      <c r="J665" s="120"/>
      <c r="K665" s="120"/>
      <c r="L665" s="10"/>
      <c r="Z665" s="122"/>
    </row>
    <row r="666">
      <c r="A666" s="10"/>
      <c r="B666" s="10"/>
      <c r="C666" s="10"/>
      <c r="D666" s="10"/>
      <c r="E666" s="10"/>
      <c r="F666" s="10"/>
      <c r="G666" s="120"/>
      <c r="H666" s="194"/>
      <c r="I666" s="194"/>
      <c r="J666" s="120"/>
      <c r="K666" s="120"/>
      <c r="L666" s="10"/>
      <c r="Z666" s="122"/>
    </row>
    <row r="667">
      <c r="A667" s="10"/>
      <c r="B667" s="10"/>
      <c r="C667" s="10"/>
      <c r="D667" s="10"/>
      <c r="E667" s="10"/>
      <c r="F667" s="10"/>
      <c r="G667" s="120"/>
      <c r="H667" s="194"/>
      <c r="I667" s="194"/>
      <c r="J667" s="120"/>
      <c r="K667" s="120"/>
      <c r="L667" s="10"/>
      <c r="Z667" s="122"/>
    </row>
    <row r="668">
      <c r="A668" s="10"/>
      <c r="B668" s="10"/>
      <c r="C668" s="10"/>
      <c r="D668" s="10"/>
      <c r="E668" s="10"/>
      <c r="F668" s="10"/>
      <c r="G668" s="120"/>
      <c r="H668" s="194"/>
      <c r="I668" s="194"/>
      <c r="J668" s="120"/>
      <c r="K668" s="120"/>
      <c r="L668" s="10"/>
      <c r="Z668" s="122"/>
    </row>
    <row r="669">
      <c r="A669" s="10"/>
      <c r="B669" s="10"/>
      <c r="C669" s="10"/>
      <c r="D669" s="10"/>
      <c r="E669" s="10"/>
      <c r="F669" s="10"/>
      <c r="G669" s="120"/>
      <c r="H669" s="194"/>
      <c r="I669" s="194"/>
      <c r="J669" s="120"/>
      <c r="K669" s="120"/>
      <c r="L669" s="10"/>
      <c r="Z669" s="122"/>
    </row>
    <row r="670">
      <c r="A670" s="10"/>
      <c r="B670" s="10"/>
      <c r="C670" s="10"/>
      <c r="D670" s="10"/>
      <c r="E670" s="10"/>
      <c r="F670" s="10"/>
      <c r="G670" s="120"/>
      <c r="H670" s="194"/>
      <c r="I670" s="194"/>
      <c r="J670" s="120"/>
      <c r="K670" s="120"/>
      <c r="L670" s="10"/>
      <c r="Z670" s="122"/>
    </row>
    <row r="671">
      <c r="A671" s="10"/>
      <c r="B671" s="10"/>
      <c r="C671" s="10"/>
      <c r="D671" s="10"/>
      <c r="E671" s="10"/>
      <c r="F671" s="10"/>
      <c r="G671" s="120"/>
      <c r="H671" s="194"/>
      <c r="I671" s="194"/>
      <c r="J671" s="120"/>
      <c r="K671" s="120"/>
      <c r="L671" s="10"/>
      <c r="Z671" s="122"/>
    </row>
    <row r="672">
      <c r="A672" s="10"/>
      <c r="B672" s="10"/>
      <c r="C672" s="10"/>
      <c r="D672" s="10"/>
      <c r="E672" s="10"/>
      <c r="F672" s="10"/>
      <c r="G672" s="120"/>
      <c r="H672" s="194"/>
      <c r="I672" s="194"/>
      <c r="J672" s="120"/>
      <c r="K672" s="120"/>
      <c r="L672" s="10"/>
      <c r="Z672" s="122"/>
    </row>
    <row r="673">
      <c r="A673" s="10"/>
      <c r="B673" s="10"/>
      <c r="C673" s="10"/>
      <c r="D673" s="10"/>
      <c r="E673" s="10"/>
      <c r="F673" s="10"/>
      <c r="G673" s="120"/>
      <c r="H673" s="194"/>
      <c r="I673" s="194"/>
      <c r="J673" s="120"/>
      <c r="K673" s="120"/>
      <c r="L673" s="10"/>
      <c r="Z673" s="122"/>
    </row>
    <row r="674">
      <c r="A674" s="10"/>
      <c r="B674" s="10"/>
      <c r="C674" s="10"/>
      <c r="D674" s="10"/>
      <c r="E674" s="10"/>
      <c r="F674" s="10"/>
      <c r="G674" s="120"/>
      <c r="H674" s="194"/>
      <c r="I674" s="194"/>
      <c r="J674" s="120"/>
      <c r="K674" s="120"/>
      <c r="L674" s="10"/>
      <c r="Z674" s="122"/>
    </row>
    <row r="675">
      <c r="A675" s="10"/>
      <c r="B675" s="10"/>
      <c r="C675" s="10"/>
      <c r="D675" s="10"/>
      <c r="E675" s="10"/>
      <c r="F675" s="10"/>
      <c r="G675" s="120"/>
      <c r="H675" s="194"/>
      <c r="I675" s="194"/>
      <c r="J675" s="120"/>
      <c r="K675" s="120"/>
      <c r="L675" s="10"/>
      <c r="Z675" s="122"/>
    </row>
    <row r="676">
      <c r="A676" s="10"/>
      <c r="B676" s="10"/>
      <c r="C676" s="10"/>
      <c r="D676" s="10"/>
      <c r="E676" s="10"/>
      <c r="F676" s="10"/>
      <c r="G676" s="120"/>
      <c r="H676" s="194"/>
      <c r="I676" s="194"/>
      <c r="J676" s="120"/>
      <c r="K676" s="120"/>
      <c r="L676" s="10"/>
      <c r="Z676" s="122"/>
    </row>
    <row r="677">
      <c r="A677" s="10"/>
      <c r="B677" s="10"/>
      <c r="C677" s="10"/>
      <c r="D677" s="10"/>
      <c r="E677" s="10"/>
      <c r="F677" s="10"/>
      <c r="G677" s="120"/>
      <c r="H677" s="194"/>
      <c r="I677" s="194"/>
      <c r="J677" s="120"/>
      <c r="K677" s="120"/>
      <c r="L677" s="10"/>
      <c r="Z677" s="122"/>
    </row>
    <row r="678">
      <c r="A678" s="10"/>
      <c r="B678" s="10"/>
      <c r="C678" s="10"/>
      <c r="D678" s="10"/>
      <c r="E678" s="10"/>
      <c r="F678" s="10"/>
      <c r="G678" s="120"/>
      <c r="H678" s="194"/>
      <c r="I678" s="194"/>
      <c r="J678" s="120"/>
      <c r="K678" s="120"/>
      <c r="L678" s="10"/>
      <c r="Z678" s="122"/>
    </row>
    <row r="679">
      <c r="A679" s="10"/>
      <c r="B679" s="10"/>
      <c r="C679" s="10"/>
      <c r="D679" s="10"/>
      <c r="E679" s="10"/>
      <c r="F679" s="10"/>
      <c r="G679" s="120"/>
      <c r="H679" s="194"/>
      <c r="I679" s="194"/>
      <c r="J679" s="120"/>
      <c r="K679" s="120"/>
      <c r="L679" s="10"/>
      <c r="Z679" s="122"/>
    </row>
    <row r="680">
      <c r="A680" s="10"/>
      <c r="B680" s="10"/>
      <c r="C680" s="10"/>
      <c r="D680" s="10"/>
      <c r="E680" s="10"/>
      <c r="F680" s="10"/>
      <c r="G680" s="120"/>
      <c r="H680" s="194"/>
      <c r="I680" s="194"/>
      <c r="J680" s="120"/>
      <c r="K680" s="120"/>
      <c r="L680" s="10"/>
      <c r="Z680" s="122"/>
    </row>
    <row r="681">
      <c r="A681" s="10"/>
      <c r="B681" s="10"/>
      <c r="C681" s="10"/>
      <c r="D681" s="10"/>
      <c r="E681" s="10"/>
      <c r="F681" s="10"/>
      <c r="G681" s="120"/>
      <c r="H681" s="194"/>
      <c r="I681" s="194"/>
      <c r="J681" s="120"/>
      <c r="K681" s="120"/>
      <c r="L681" s="10"/>
      <c r="Z681" s="122"/>
    </row>
    <row r="682">
      <c r="A682" s="10"/>
      <c r="B682" s="10"/>
      <c r="C682" s="10"/>
      <c r="D682" s="10"/>
      <c r="E682" s="10"/>
      <c r="F682" s="10"/>
      <c r="G682" s="120"/>
      <c r="H682" s="194"/>
      <c r="I682" s="194"/>
      <c r="J682" s="120"/>
      <c r="K682" s="120"/>
      <c r="L682" s="10"/>
      <c r="Z682" s="122"/>
    </row>
    <row r="683">
      <c r="A683" s="10"/>
      <c r="B683" s="10"/>
      <c r="C683" s="10"/>
      <c r="D683" s="10"/>
      <c r="E683" s="10"/>
      <c r="F683" s="10"/>
      <c r="G683" s="120"/>
      <c r="H683" s="194"/>
      <c r="I683" s="194"/>
      <c r="J683" s="120"/>
      <c r="K683" s="120"/>
      <c r="L683" s="10"/>
      <c r="Z683" s="122"/>
    </row>
    <row r="684">
      <c r="A684" s="10"/>
      <c r="B684" s="10"/>
      <c r="C684" s="10"/>
      <c r="D684" s="10"/>
      <c r="E684" s="10"/>
      <c r="F684" s="10"/>
      <c r="G684" s="120"/>
      <c r="H684" s="194"/>
      <c r="I684" s="194"/>
      <c r="J684" s="120"/>
      <c r="K684" s="120"/>
      <c r="L684" s="10"/>
      <c r="Z684" s="122"/>
    </row>
    <row r="685">
      <c r="A685" s="10"/>
      <c r="B685" s="10"/>
      <c r="C685" s="10"/>
      <c r="D685" s="10"/>
      <c r="E685" s="10"/>
      <c r="F685" s="10"/>
      <c r="G685" s="120"/>
      <c r="H685" s="194"/>
      <c r="I685" s="194"/>
      <c r="J685" s="120"/>
      <c r="K685" s="120"/>
      <c r="L685" s="10"/>
      <c r="Z685" s="122"/>
    </row>
    <row r="686">
      <c r="A686" s="10"/>
      <c r="B686" s="10"/>
      <c r="C686" s="10"/>
      <c r="D686" s="10"/>
      <c r="E686" s="10"/>
      <c r="F686" s="10"/>
      <c r="G686" s="120"/>
      <c r="H686" s="194"/>
      <c r="I686" s="194"/>
      <c r="J686" s="120"/>
      <c r="K686" s="120"/>
      <c r="L686" s="10"/>
      <c r="Z686" s="122"/>
    </row>
    <row r="687">
      <c r="A687" s="10"/>
      <c r="B687" s="10"/>
      <c r="C687" s="10"/>
      <c r="D687" s="10"/>
      <c r="E687" s="10"/>
      <c r="F687" s="10"/>
      <c r="G687" s="120"/>
      <c r="H687" s="194"/>
      <c r="I687" s="194"/>
      <c r="J687" s="120"/>
      <c r="K687" s="120"/>
      <c r="L687" s="10"/>
      <c r="Z687" s="122"/>
    </row>
    <row r="688">
      <c r="A688" s="10"/>
      <c r="B688" s="10"/>
      <c r="C688" s="10"/>
      <c r="D688" s="10"/>
      <c r="E688" s="10"/>
      <c r="F688" s="10"/>
      <c r="G688" s="120"/>
      <c r="H688" s="194"/>
      <c r="I688" s="194"/>
      <c r="J688" s="120"/>
      <c r="K688" s="120"/>
      <c r="L688" s="10"/>
      <c r="Z688" s="122"/>
    </row>
    <row r="689">
      <c r="A689" s="10"/>
      <c r="B689" s="10"/>
      <c r="C689" s="10"/>
      <c r="D689" s="10"/>
      <c r="E689" s="10"/>
      <c r="F689" s="10"/>
      <c r="G689" s="120"/>
      <c r="H689" s="194"/>
      <c r="I689" s="194"/>
      <c r="J689" s="120"/>
      <c r="K689" s="120"/>
      <c r="L689" s="10"/>
      <c r="Z689" s="122"/>
    </row>
    <row r="690">
      <c r="A690" s="10"/>
      <c r="B690" s="10"/>
      <c r="C690" s="10"/>
      <c r="D690" s="10"/>
      <c r="E690" s="10"/>
      <c r="F690" s="10"/>
      <c r="G690" s="120"/>
      <c r="H690" s="194"/>
      <c r="I690" s="194"/>
      <c r="J690" s="120"/>
      <c r="K690" s="120"/>
      <c r="L690" s="10"/>
      <c r="Z690" s="122"/>
    </row>
    <row r="691">
      <c r="A691" s="10"/>
      <c r="B691" s="10"/>
      <c r="C691" s="10"/>
      <c r="D691" s="10"/>
      <c r="E691" s="10"/>
      <c r="F691" s="10"/>
      <c r="G691" s="120"/>
      <c r="H691" s="194"/>
      <c r="I691" s="194"/>
      <c r="J691" s="120"/>
      <c r="K691" s="120"/>
      <c r="L691" s="10"/>
      <c r="Z691" s="122"/>
    </row>
    <row r="692">
      <c r="A692" s="10"/>
      <c r="B692" s="10"/>
      <c r="C692" s="10"/>
      <c r="D692" s="10"/>
      <c r="E692" s="10"/>
      <c r="F692" s="10"/>
      <c r="G692" s="120"/>
      <c r="H692" s="194"/>
      <c r="I692" s="194"/>
      <c r="J692" s="120"/>
      <c r="K692" s="120"/>
      <c r="L692" s="10"/>
      <c r="Z692" s="122"/>
    </row>
    <row r="693">
      <c r="A693" s="10"/>
      <c r="B693" s="10"/>
      <c r="C693" s="10"/>
      <c r="D693" s="10"/>
      <c r="E693" s="10"/>
      <c r="F693" s="10"/>
      <c r="G693" s="120"/>
      <c r="H693" s="194"/>
      <c r="I693" s="194"/>
      <c r="J693" s="120"/>
      <c r="K693" s="120"/>
      <c r="L693" s="10"/>
      <c r="Z693" s="122"/>
    </row>
    <row r="694">
      <c r="A694" s="10"/>
      <c r="B694" s="10"/>
      <c r="C694" s="10"/>
      <c r="D694" s="10"/>
      <c r="E694" s="10"/>
      <c r="F694" s="10"/>
      <c r="G694" s="120"/>
      <c r="H694" s="194"/>
      <c r="I694" s="194"/>
      <c r="J694" s="120"/>
      <c r="K694" s="120"/>
      <c r="L694" s="10"/>
      <c r="Z694" s="122"/>
    </row>
    <row r="695">
      <c r="A695" s="10"/>
      <c r="B695" s="10"/>
      <c r="C695" s="10"/>
      <c r="D695" s="10"/>
      <c r="E695" s="10"/>
      <c r="F695" s="10"/>
      <c r="G695" s="120"/>
      <c r="H695" s="194"/>
      <c r="I695" s="194"/>
      <c r="J695" s="120"/>
      <c r="K695" s="120"/>
      <c r="L695" s="10"/>
      <c r="Z695" s="122"/>
    </row>
    <row r="696">
      <c r="A696" s="10"/>
      <c r="B696" s="10"/>
      <c r="C696" s="10"/>
      <c r="D696" s="10"/>
      <c r="E696" s="10"/>
      <c r="F696" s="10"/>
      <c r="G696" s="120"/>
      <c r="H696" s="194"/>
      <c r="I696" s="194"/>
      <c r="J696" s="120"/>
      <c r="K696" s="120"/>
      <c r="L696" s="10"/>
      <c r="Z696" s="122"/>
    </row>
    <row r="697">
      <c r="A697" s="10"/>
      <c r="B697" s="10"/>
      <c r="C697" s="10"/>
      <c r="D697" s="10"/>
      <c r="E697" s="10"/>
      <c r="F697" s="10"/>
      <c r="G697" s="120"/>
      <c r="H697" s="194"/>
      <c r="I697" s="194"/>
      <c r="J697" s="120"/>
      <c r="K697" s="120"/>
      <c r="L697" s="10"/>
      <c r="Z697" s="122"/>
    </row>
    <row r="698">
      <c r="A698" s="10"/>
      <c r="B698" s="10"/>
      <c r="C698" s="10"/>
      <c r="D698" s="10"/>
      <c r="E698" s="10"/>
      <c r="F698" s="10"/>
      <c r="G698" s="120"/>
      <c r="H698" s="194"/>
      <c r="I698" s="194"/>
      <c r="J698" s="120"/>
      <c r="K698" s="120"/>
      <c r="L698" s="10"/>
      <c r="Z698" s="122"/>
    </row>
    <row r="699">
      <c r="A699" s="10"/>
      <c r="B699" s="10"/>
      <c r="C699" s="10"/>
      <c r="D699" s="10"/>
      <c r="E699" s="10"/>
      <c r="F699" s="10"/>
      <c r="G699" s="120"/>
      <c r="H699" s="194"/>
      <c r="I699" s="194"/>
      <c r="J699" s="120"/>
      <c r="K699" s="120"/>
      <c r="L699" s="10"/>
      <c r="Z699" s="122"/>
    </row>
    <row r="700">
      <c r="A700" s="10"/>
      <c r="B700" s="10"/>
      <c r="C700" s="10"/>
      <c r="D700" s="10"/>
      <c r="E700" s="10"/>
      <c r="F700" s="10"/>
      <c r="G700" s="120"/>
      <c r="H700" s="194"/>
      <c r="I700" s="194"/>
      <c r="J700" s="120"/>
      <c r="K700" s="120"/>
      <c r="L700" s="10"/>
      <c r="Z700" s="122"/>
    </row>
    <row r="701">
      <c r="A701" s="10"/>
      <c r="B701" s="10"/>
      <c r="C701" s="10"/>
      <c r="D701" s="10"/>
      <c r="E701" s="10"/>
      <c r="F701" s="10"/>
      <c r="G701" s="120"/>
      <c r="H701" s="194"/>
      <c r="I701" s="194"/>
      <c r="J701" s="120"/>
      <c r="K701" s="120"/>
      <c r="L701" s="10"/>
      <c r="Z701" s="122"/>
    </row>
    <row r="702">
      <c r="A702" s="10"/>
      <c r="B702" s="10"/>
      <c r="C702" s="10"/>
      <c r="D702" s="10"/>
      <c r="E702" s="10"/>
      <c r="F702" s="10"/>
      <c r="G702" s="120"/>
      <c r="H702" s="194"/>
      <c r="I702" s="194"/>
      <c r="J702" s="120"/>
      <c r="K702" s="120"/>
      <c r="L702" s="10"/>
      <c r="Z702" s="122"/>
    </row>
    <row r="703">
      <c r="A703" s="10"/>
      <c r="B703" s="10"/>
      <c r="C703" s="10"/>
      <c r="D703" s="10"/>
      <c r="E703" s="10"/>
      <c r="F703" s="10"/>
      <c r="G703" s="120"/>
      <c r="H703" s="194"/>
      <c r="I703" s="194"/>
      <c r="J703" s="120"/>
      <c r="K703" s="120"/>
      <c r="L703" s="10"/>
      <c r="Z703" s="122"/>
    </row>
    <row r="704">
      <c r="A704" s="10"/>
      <c r="B704" s="10"/>
      <c r="C704" s="10"/>
      <c r="D704" s="10"/>
      <c r="E704" s="10"/>
      <c r="F704" s="10"/>
      <c r="G704" s="120"/>
      <c r="H704" s="194"/>
      <c r="I704" s="194"/>
      <c r="J704" s="120"/>
      <c r="K704" s="120"/>
      <c r="L704" s="10"/>
      <c r="Z704" s="122"/>
    </row>
    <row r="705">
      <c r="A705" s="10"/>
      <c r="B705" s="10"/>
      <c r="C705" s="10"/>
      <c r="D705" s="10"/>
      <c r="E705" s="10"/>
      <c r="F705" s="10"/>
      <c r="G705" s="120"/>
      <c r="H705" s="194"/>
      <c r="I705" s="194"/>
      <c r="J705" s="120"/>
      <c r="K705" s="120"/>
      <c r="L705" s="10"/>
      <c r="Z705" s="122"/>
    </row>
    <row r="706">
      <c r="A706" s="10"/>
      <c r="B706" s="10"/>
      <c r="C706" s="10"/>
      <c r="D706" s="10"/>
      <c r="E706" s="10"/>
      <c r="F706" s="10"/>
      <c r="G706" s="120"/>
      <c r="H706" s="194"/>
      <c r="I706" s="194"/>
      <c r="J706" s="120"/>
      <c r="K706" s="120"/>
      <c r="L706" s="10"/>
      <c r="Z706" s="122"/>
    </row>
    <row r="707">
      <c r="A707" s="10"/>
      <c r="B707" s="10"/>
      <c r="C707" s="10"/>
      <c r="D707" s="10"/>
      <c r="E707" s="10"/>
      <c r="F707" s="10"/>
      <c r="G707" s="120"/>
      <c r="H707" s="194"/>
      <c r="I707" s="194"/>
      <c r="J707" s="120"/>
      <c r="K707" s="120"/>
      <c r="L707" s="10"/>
      <c r="Z707" s="122"/>
    </row>
    <row r="708">
      <c r="A708" s="10"/>
      <c r="B708" s="10"/>
      <c r="C708" s="10"/>
      <c r="D708" s="10"/>
      <c r="E708" s="10"/>
      <c r="F708" s="10"/>
      <c r="G708" s="120"/>
      <c r="H708" s="194"/>
      <c r="I708" s="194"/>
      <c r="J708" s="120"/>
      <c r="K708" s="120"/>
      <c r="L708" s="10"/>
      <c r="Z708" s="122"/>
    </row>
    <row r="709">
      <c r="A709" s="10"/>
      <c r="B709" s="10"/>
      <c r="C709" s="10"/>
      <c r="D709" s="10"/>
      <c r="E709" s="10"/>
      <c r="F709" s="10"/>
      <c r="G709" s="120"/>
      <c r="H709" s="194"/>
      <c r="I709" s="194"/>
      <c r="J709" s="120"/>
      <c r="K709" s="120"/>
      <c r="L709" s="10"/>
      <c r="Z709" s="122"/>
    </row>
    <row r="710">
      <c r="A710" s="10"/>
      <c r="B710" s="10"/>
      <c r="C710" s="10"/>
      <c r="D710" s="10"/>
      <c r="E710" s="10"/>
      <c r="F710" s="10"/>
      <c r="G710" s="120"/>
      <c r="H710" s="194"/>
      <c r="I710" s="194"/>
      <c r="J710" s="120"/>
      <c r="K710" s="120"/>
      <c r="L710" s="10"/>
      <c r="Z710" s="122"/>
    </row>
    <row r="711">
      <c r="A711" s="10"/>
      <c r="B711" s="10"/>
      <c r="C711" s="10"/>
      <c r="D711" s="10"/>
      <c r="E711" s="10"/>
      <c r="F711" s="10"/>
      <c r="G711" s="120"/>
      <c r="H711" s="194"/>
      <c r="I711" s="194"/>
      <c r="J711" s="120"/>
      <c r="K711" s="120"/>
      <c r="L711" s="10"/>
      <c r="Z711" s="122"/>
    </row>
    <row r="712">
      <c r="A712" s="10"/>
      <c r="B712" s="10"/>
      <c r="C712" s="10"/>
      <c r="D712" s="10"/>
      <c r="E712" s="10"/>
      <c r="F712" s="10"/>
      <c r="G712" s="120"/>
      <c r="H712" s="194"/>
      <c r="I712" s="194"/>
      <c r="J712" s="120"/>
      <c r="K712" s="120"/>
      <c r="L712" s="10"/>
      <c r="Z712" s="122"/>
    </row>
    <row r="713">
      <c r="A713" s="10"/>
      <c r="B713" s="10"/>
      <c r="C713" s="10"/>
      <c r="D713" s="10"/>
      <c r="E713" s="10"/>
      <c r="F713" s="10"/>
      <c r="G713" s="120"/>
      <c r="H713" s="194"/>
      <c r="I713" s="194"/>
      <c r="J713" s="120"/>
      <c r="K713" s="120"/>
      <c r="L713" s="10"/>
      <c r="Z713" s="122"/>
    </row>
    <row r="714">
      <c r="A714" s="10"/>
      <c r="B714" s="10"/>
      <c r="C714" s="10"/>
      <c r="D714" s="10"/>
      <c r="E714" s="10"/>
      <c r="F714" s="10"/>
      <c r="G714" s="120"/>
      <c r="H714" s="194"/>
      <c r="I714" s="194"/>
      <c r="J714" s="120"/>
      <c r="K714" s="120"/>
      <c r="L714" s="10"/>
      <c r="Z714" s="122"/>
    </row>
    <row r="715">
      <c r="A715" s="10"/>
      <c r="B715" s="10"/>
      <c r="C715" s="10"/>
      <c r="D715" s="10"/>
      <c r="E715" s="10"/>
      <c r="F715" s="10"/>
      <c r="G715" s="120"/>
      <c r="H715" s="194"/>
      <c r="I715" s="194"/>
      <c r="J715" s="120"/>
      <c r="K715" s="120"/>
      <c r="L715" s="10"/>
      <c r="Z715" s="122"/>
    </row>
    <row r="716">
      <c r="A716" s="10"/>
      <c r="B716" s="10"/>
      <c r="C716" s="10"/>
      <c r="D716" s="10"/>
      <c r="E716" s="10"/>
      <c r="F716" s="10"/>
      <c r="G716" s="120"/>
      <c r="H716" s="194"/>
      <c r="I716" s="194"/>
      <c r="J716" s="120"/>
      <c r="K716" s="120"/>
      <c r="L716" s="10"/>
      <c r="Z716" s="122"/>
    </row>
    <row r="717">
      <c r="A717" s="10"/>
      <c r="B717" s="10"/>
      <c r="C717" s="10"/>
      <c r="D717" s="10"/>
      <c r="E717" s="10"/>
      <c r="F717" s="10"/>
      <c r="G717" s="120"/>
      <c r="H717" s="194"/>
      <c r="I717" s="194"/>
      <c r="J717" s="120"/>
      <c r="K717" s="120"/>
      <c r="L717" s="10"/>
      <c r="Z717" s="122"/>
    </row>
    <row r="718">
      <c r="A718" s="10"/>
      <c r="B718" s="10"/>
      <c r="C718" s="10"/>
      <c r="D718" s="10"/>
      <c r="E718" s="10"/>
      <c r="F718" s="10"/>
      <c r="G718" s="120"/>
      <c r="H718" s="194"/>
      <c r="I718" s="194"/>
      <c r="J718" s="120"/>
      <c r="K718" s="120"/>
      <c r="L718" s="10"/>
      <c r="Z718" s="122"/>
    </row>
    <row r="719">
      <c r="A719" s="10"/>
      <c r="B719" s="10"/>
      <c r="C719" s="10"/>
      <c r="D719" s="10"/>
      <c r="E719" s="10"/>
      <c r="F719" s="10"/>
      <c r="G719" s="120"/>
      <c r="H719" s="194"/>
      <c r="I719" s="194"/>
      <c r="J719" s="120"/>
      <c r="K719" s="120"/>
      <c r="L719" s="10"/>
      <c r="Z719" s="122"/>
    </row>
    <row r="720">
      <c r="A720" s="10"/>
      <c r="B720" s="10"/>
      <c r="C720" s="10"/>
      <c r="D720" s="10"/>
      <c r="E720" s="10"/>
      <c r="F720" s="10"/>
      <c r="G720" s="120"/>
      <c r="H720" s="194"/>
      <c r="I720" s="194"/>
      <c r="J720" s="120"/>
      <c r="K720" s="120"/>
      <c r="L720" s="10"/>
      <c r="Z720" s="122"/>
    </row>
    <row r="721">
      <c r="A721" s="10"/>
      <c r="B721" s="10"/>
      <c r="C721" s="10"/>
      <c r="D721" s="10"/>
      <c r="E721" s="10"/>
      <c r="F721" s="10"/>
      <c r="G721" s="120"/>
      <c r="H721" s="194"/>
      <c r="I721" s="194"/>
      <c r="J721" s="120"/>
      <c r="K721" s="120"/>
      <c r="L721" s="10"/>
      <c r="Z721" s="122"/>
    </row>
    <row r="722">
      <c r="A722" s="10"/>
      <c r="B722" s="10"/>
      <c r="C722" s="10"/>
      <c r="D722" s="10"/>
      <c r="E722" s="10"/>
      <c r="F722" s="10"/>
      <c r="G722" s="120"/>
      <c r="H722" s="194"/>
      <c r="I722" s="194"/>
      <c r="J722" s="120"/>
      <c r="K722" s="120"/>
      <c r="L722" s="10"/>
      <c r="Z722" s="122"/>
    </row>
    <row r="723">
      <c r="A723" s="10"/>
      <c r="B723" s="10"/>
      <c r="C723" s="10"/>
      <c r="D723" s="10"/>
      <c r="E723" s="10"/>
      <c r="F723" s="10"/>
      <c r="G723" s="120"/>
      <c r="H723" s="194"/>
      <c r="I723" s="194"/>
      <c r="J723" s="120"/>
      <c r="K723" s="120"/>
      <c r="L723" s="10"/>
      <c r="Z723" s="122"/>
    </row>
    <row r="724">
      <c r="A724" s="10"/>
      <c r="B724" s="10"/>
      <c r="C724" s="10"/>
      <c r="D724" s="10"/>
      <c r="E724" s="10"/>
      <c r="F724" s="10"/>
      <c r="G724" s="120"/>
      <c r="H724" s="194"/>
      <c r="I724" s="194"/>
      <c r="J724" s="120"/>
      <c r="K724" s="120"/>
      <c r="L724" s="10"/>
      <c r="Z724" s="122"/>
    </row>
    <row r="725">
      <c r="A725" s="10"/>
      <c r="B725" s="10"/>
      <c r="C725" s="10"/>
      <c r="D725" s="10"/>
      <c r="E725" s="10"/>
      <c r="F725" s="10"/>
      <c r="G725" s="120"/>
      <c r="H725" s="194"/>
      <c r="I725" s="194"/>
      <c r="J725" s="120"/>
      <c r="K725" s="120"/>
      <c r="L725" s="10"/>
      <c r="Z725" s="122"/>
    </row>
    <row r="726">
      <c r="A726" s="10"/>
      <c r="B726" s="10"/>
      <c r="C726" s="10"/>
      <c r="D726" s="10"/>
      <c r="E726" s="10"/>
      <c r="F726" s="10"/>
      <c r="G726" s="120"/>
      <c r="H726" s="194"/>
      <c r="I726" s="194"/>
      <c r="J726" s="120"/>
      <c r="K726" s="120"/>
      <c r="L726" s="10"/>
      <c r="Z726" s="122"/>
    </row>
    <row r="727">
      <c r="A727" s="10"/>
      <c r="B727" s="10"/>
      <c r="C727" s="10"/>
      <c r="D727" s="10"/>
      <c r="E727" s="10"/>
      <c r="F727" s="10"/>
      <c r="G727" s="120"/>
      <c r="H727" s="194"/>
      <c r="I727" s="194"/>
      <c r="J727" s="120"/>
      <c r="K727" s="120"/>
      <c r="L727" s="10"/>
      <c r="Z727" s="122"/>
    </row>
    <row r="728">
      <c r="A728" s="10"/>
      <c r="B728" s="10"/>
      <c r="C728" s="10"/>
      <c r="D728" s="10"/>
      <c r="E728" s="10"/>
      <c r="F728" s="10"/>
      <c r="G728" s="120"/>
      <c r="H728" s="194"/>
      <c r="I728" s="194"/>
      <c r="J728" s="120"/>
      <c r="K728" s="120"/>
      <c r="L728" s="10"/>
      <c r="Z728" s="122"/>
    </row>
    <row r="729">
      <c r="A729" s="10"/>
      <c r="B729" s="10"/>
      <c r="C729" s="10"/>
      <c r="D729" s="10"/>
      <c r="E729" s="10"/>
      <c r="F729" s="10"/>
      <c r="G729" s="120"/>
      <c r="H729" s="194"/>
      <c r="I729" s="194"/>
      <c r="J729" s="120"/>
      <c r="K729" s="120"/>
      <c r="L729" s="10"/>
      <c r="Z729" s="122"/>
    </row>
    <row r="730">
      <c r="A730" s="10"/>
      <c r="B730" s="10"/>
      <c r="C730" s="10"/>
      <c r="D730" s="10"/>
      <c r="E730" s="10"/>
      <c r="F730" s="10"/>
      <c r="G730" s="120"/>
      <c r="H730" s="194"/>
      <c r="I730" s="194"/>
      <c r="J730" s="120"/>
      <c r="K730" s="120"/>
      <c r="L730" s="10"/>
      <c r="Z730" s="122"/>
    </row>
    <row r="731">
      <c r="A731" s="10"/>
      <c r="B731" s="10"/>
      <c r="C731" s="10"/>
      <c r="D731" s="10"/>
      <c r="E731" s="10"/>
      <c r="F731" s="10"/>
      <c r="G731" s="120"/>
      <c r="H731" s="194"/>
      <c r="I731" s="194"/>
      <c r="J731" s="120"/>
      <c r="K731" s="120"/>
      <c r="L731" s="10"/>
      <c r="Z731" s="122"/>
    </row>
    <row r="732">
      <c r="A732" s="10"/>
      <c r="B732" s="10"/>
      <c r="C732" s="10"/>
      <c r="D732" s="10"/>
      <c r="E732" s="10"/>
      <c r="F732" s="10"/>
      <c r="G732" s="120"/>
      <c r="H732" s="194"/>
      <c r="I732" s="194"/>
      <c r="J732" s="120"/>
      <c r="K732" s="120"/>
      <c r="L732" s="10"/>
      <c r="Z732" s="122"/>
    </row>
    <row r="733">
      <c r="A733" s="10"/>
      <c r="B733" s="10"/>
      <c r="C733" s="10"/>
      <c r="D733" s="10"/>
      <c r="E733" s="10"/>
      <c r="F733" s="10"/>
      <c r="G733" s="120"/>
      <c r="H733" s="194"/>
      <c r="I733" s="194"/>
      <c r="J733" s="120"/>
      <c r="K733" s="120"/>
      <c r="L733" s="10"/>
      <c r="Z733" s="122"/>
    </row>
    <row r="734">
      <c r="A734" s="10"/>
      <c r="B734" s="10"/>
      <c r="C734" s="10"/>
      <c r="D734" s="10"/>
      <c r="E734" s="10"/>
      <c r="F734" s="10"/>
      <c r="G734" s="120"/>
      <c r="H734" s="194"/>
      <c r="I734" s="194"/>
      <c r="J734" s="120"/>
      <c r="K734" s="120"/>
      <c r="L734" s="10"/>
      <c r="Z734" s="122"/>
    </row>
    <row r="735">
      <c r="A735" s="10"/>
      <c r="B735" s="10"/>
      <c r="C735" s="10"/>
      <c r="D735" s="10"/>
      <c r="E735" s="10"/>
      <c r="F735" s="10"/>
      <c r="G735" s="120"/>
      <c r="H735" s="194"/>
      <c r="I735" s="194"/>
      <c r="J735" s="120"/>
      <c r="K735" s="120"/>
      <c r="L735" s="10"/>
      <c r="Z735" s="122"/>
    </row>
    <row r="736">
      <c r="A736" s="10"/>
      <c r="B736" s="10"/>
      <c r="C736" s="10"/>
      <c r="D736" s="10"/>
      <c r="E736" s="10"/>
      <c r="F736" s="10"/>
      <c r="G736" s="120"/>
      <c r="H736" s="194"/>
      <c r="I736" s="194"/>
      <c r="J736" s="120"/>
      <c r="K736" s="120"/>
      <c r="L736" s="10"/>
      <c r="Z736" s="122"/>
    </row>
    <row r="737">
      <c r="A737" s="10"/>
      <c r="B737" s="10"/>
      <c r="C737" s="10"/>
      <c r="D737" s="10"/>
      <c r="E737" s="10"/>
      <c r="F737" s="10"/>
      <c r="G737" s="120"/>
      <c r="H737" s="194"/>
      <c r="I737" s="194"/>
      <c r="J737" s="120"/>
      <c r="K737" s="120"/>
      <c r="L737" s="10"/>
      <c r="Z737" s="122"/>
    </row>
    <row r="738">
      <c r="A738" s="10"/>
      <c r="B738" s="10"/>
      <c r="C738" s="10"/>
      <c r="D738" s="10"/>
      <c r="E738" s="10"/>
      <c r="F738" s="10"/>
      <c r="G738" s="120"/>
      <c r="H738" s="194"/>
      <c r="I738" s="194"/>
      <c r="J738" s="120"/>
      <c r="K738" s="120"/>
      <c r="L738" s="10"/>
      <c r="Z738" s="122"/>
    </row>
    <row r="739">
      <c r="A739" s="10"/>
      <c r="B739" s="10"/>
      <c r="C739" s="10"/>
      <c r="D739" s="10"/>
      <c r="E739" s="10"/>
      <c r="F739" s="10"/>
      <c r="G739" s="120"/>
      <c r="H739" s="194"/>
      <c r="I739" s="194"/>
      <c r="J739" s="120"/>
      <c r="K739" s="120"/>
      <c r="L739" s="10"/>
      <c r="Z739" s="122"/>
    </row>
    <row r="740">
      <c r="A740" s="10"/>
      <c r="B740" s="10"/>
      <c r="C740" s="10"/>
      <c r="D740" s="10"/>
      <c r="E740" s="10"/>
      <c r="F740" s="10"/>
      <c r="G740" s="120"/>
      <c r="H740" s="194"/>
      <c r="I740" s="194"/>
      <c r="J740" s="120"/>
      <c r="K740" s="120"/>
      <c r="L740" s="10"/>
      <c r="Z740" s="122"/>
    </row>
    <row r="741">
      <c r="A741" s="10"/>
      <c r="B741" s="10"/>
      <c r="C741" s="10"/>
      <c r="D741" s="10"/>
      <c r="E741" s="10"/>
      <c r="F741" s="10"/>
      <c r="G741" s="120"/>
      <c r="H741" s="194"/>
      <c r="I741" s="194"/>
      <c r="J741" s="120"/>
      <c r="K741" s="120"/>
      <c r="L741" s="10"/>
      <c r="Z741" s="122"/>
    </row>
    <row r="742">
      <c r="A742" s="10"/>
      <c r="B742" s="10"/>
      <c r="C742" s="10"/>
      <c r="D742" s="10"/>
      <c r="E742" s="10"/>
      <c r="F742" s="10"/>
      <c r="G742" s="120"/>
      <c r="H742" s="194"/>
      <c r="I742" s="194"/>
      <c r="J742" s="120"/>
      <c r="K742" s="120"/>
      <c r="L742" s="10"/>
      <c r="Z742" s="122"/>
    </row>
    <row r="743">
      <c r="A743" s="10"/>
      <c r="B743" s="10"/>
      <c r="C743" s="10"/>
      <c r="D743" s="10"/>
      <c r="E743" s="10"/>
      <c r="F743" s="10"/>
      <c r="G743" s="120"/>
      <c r="H743" s="194"/>
      <c r="I743" s="194"/>
      <c r="J743" s="120"/>
      <c r="K743" s="120"/>
      <c r="L743" s="10"/>
      <c r="Z743" s="122"/>
    </row>
    <row r="744">
      <c r="A744" s="10"/>
      <c r="B744" s="10"/>
      <c r="C744" s="10"/>
      <c r="D744" s="10"/>
      <c r="E744" s="10"/>
      <c r="F744" s="10"/>
      <c r="G744" s="120"/>
      <c r="H744" s="194"/>
      <c r="I744" s="194"/>
      <c r="J744" s="120"/>
      <c r="K744" s="120"/>
      <c r="L744" s="10"/>
      <c r="Z744" s="122"/>
    </row>
    <row r="745">
      <c r="A745" s="10"/>
      <c r="B745" s="10"/>
      <c r="C745" s="10"/>
      <c r="D745" s="10"/>
      <c r="E745" s="10"/>
      <c r="F745" s="10"/>
      <c r="G745" s="120"/>
      <c r="H745" s="194"/>
      <c r="I745" s="194"/>
      <c r="J745" s="120"/>
      <c r="K745" s="120"/>
      <c r="L745" s="10"/>
      <c r="Z745" s="122"/>
    </row>
    <row r="746">
      <c r="A746" s="10"/>
      <c r="B746" s="10"/>
      <c r="C746" s="10"/>
      <c r="D746" s="10"/>
      <c r="E746" s="10"/>
      <c r="F746" s="10"/>
      <c r="G746" s="120"/>
      <c r="H746" s="194"/>
      <c r="I746" s="194"/>
      <c r="J746" s="120"/>
      <c r="K746" s="120"/>
      <c r="L746" s="10"/>
      <c r="Z746" s="122"/>
    </row>
    <row r="747">
      <c r="A747" s="10"/>
      <c r="B747" s="10"/>
      <c r="C747" s="10"/>
      <c r="D747" s="10"/>
      <c r="E747" s="10"/>
      <c r="F747" s="10"/>
      <c r="G747" s="120"/>
      <c r="H747" s="194"/>
      <c r="I747" s="194"/>
      <c r="J747" s="120"/>
      <c r="K747" s="120"/>
      <c r="L747" s="10"/>
      <c r="Z747" s="122"/>
    </row>
    <row r="748">
      <c r="A748" s="10"/>
      <c r="B748" s="10"/>
      <c r="C748" s="10"/>
      <c r="D748" s="10"/>
      <c r="E748" s="10"/>
      <c r="F748" s="10"/>
      <c r="G748" s="120"/>
      <c r="H748" s="194"/>
      <c r="I748" s="194"/>
      <c r="J748" s="120"/>
      <c r="K748" s="120"/>
      <c r="L748" s="10"/>
      <c r="Z748" s="122"/>
    </row>
    <row r="749">
      <c r="A749" s="10"/>
      <c r="B749" s="10"/>
      <c r="C749" s="10"/>
      <c r="D749" s="10"/>
      <c r="E749" s="10"/>
      <c r="F749" s="10"/>
      <c r="G749" s="120"/>
      <c r="H749" s="194"/>
      <c r="I749" s="194"/>
      <c r="J749" s="120"/>
      <c r="K749" s="120"/>
      <c r="L749" s="10"/>
      <c r="Z749" s="122"/>
    </row>
    <row r="750">
      <c r="A750" s="10"/>
      <c r="B750" s="10"/>
      <c r="C750" s="10"/>
      <c r="D750" s="10"/>
      <c r="E750" s="10"/>
      <c r="F750" s="10"/>
      <c r="G750" s="120"/>
      <c r="H750" s="194"/>
      <c r="I750" s="194"/>
      <c r="J750" s="120"/>
      <c r="K750" s="120"/>
      <c r="L750" s="10"/>
      <c r="Z750" s="122"/>
    </row>
    <row r="751">
      <c r="A751" s="10"/>
      <c r="B751" s="10"/>
      <c r="C751" s="10"/>
      <c r="D751" s="10"/>
      <c r="E751" s="10"/>
      <c r="F751" s="10"/>
      <c r="G751" s="120"/>
      <c r="H751" s="194"/>
      <c r="I751" s="194"/>
      <c r="J751" s="120"/>
      <c r="K751" s="120"/>
      <c r="L751" s="10"/>
      <c r="Z751" s="122"/>
    </row>
    <row r="752">
      <c r="A752" s="10"/>
      <c r="B752" s="10"/>
      <c r="C752" s="10"/>
      <c r="D752" s="10"/>
      <c r="E752" s="10"/>
      <c r="F752" s="10"/>
      <c r="G752" s="120"/>
      <c r="H752" s="194"/>
      <c r="I752" s="194"/>
      <c r="J752" s="120"/>
      <c r="K752" s="120"/>
      <c r="L752" s="10"/>
      <c r="Z752" s="122"/>
    </row>
    <row r="753">
      <c r="A753" s="10"/>
      <c r="B753" s="10"/>
      <c r="C753" s="10"/>
      <c r="D753" s="10"/>
      <c r="E753" s="10"/>
      <c r="F753" s="10"/>
      <c r="G753" s="120"/>
      <c r="H753" s="194"/>
      <c r="I753" s="194"/>
      <c r="J753" s="120"/>
      <c r="K753" s="120"/>
      <c r="L753" s="10"/>
      <c r="Z753" s="122"/>
    </row>
    <row r="754">
      <c r="A754" s="10"/>
      <c r="B754" s="10"/>
      <c r="C754" s="10"/>
      <c r="D754" s="10"/>
      <c r="E754" s="10"/>
      <c r="F754" s="10"/>
      <c r="G754" s="120"/>
      <c r="H754" s="194"/>
      <c r="I754" s="194"/>
      <c r="J754" s="120"/>
      <c r="K754" s="120"/>
      <c r="L754" s="10"/>
      <c r="Z754" s="122"/>
    </row>
    <row r="755">
      <c r="A755" s="10"/>
      <c r="B755" s="10"/>
      <c r="C755" s="10"/>
      <c r="D755" s="10"/>
      <c r="E755" s="10"/>
      <c r="F755" s="10"/>
      <c r="G755" s="120"/>
      <c r="H755" s="194"/>
      <c r="I755" s="194"/>
      <c r="J755" s="120"/>
      <c r="K755" s="120"/>
      <c r="L755" s="10"/>
      <c r="Z755" s="122"/>
    </row>
    <row r="756">
      <c r="A756" s="10"/>
      <c r="B756" s="10"/>
      <c r="C756" s="10"/>
      <c r="D756" s="10"/>
      <c r="E756" s="10"/>
      <c r="F756" s="10"/>
      <c r="G756" s="120"/>
      <c r="H756" s="194"/>
      <c r="I756" s="194"/>
      <c r="J756" s="120"/>
      <c r="K756" s="120"/>
      <c r="L756" s="10"/>
      <c r="Z756" s="122"/>
    </row>
    <row r="757">
      <c r="A757" s="10"/>
      <c r="B757" s="10"/>
      <c r="C757" s="10"/>
      <c r="D757" s="10"/>
      <c r="E757" s="10"/>
      <c r="F757" s="10"/>
      <c r="G757" s="120"/>
      <c r="H757" s="194"/>
      <c r="I757" s="194"/>
      <c r="J757" s="120"/>
      <c r="K757" s="120"/>
      <c r="L757" s="10"/>
      <c r="Z757" s="122"/>
    </row>
    <row r="758">
      <c r="A758" s="10"/>
      <c r="B758" s="10"/>
      <c r="C758" s="10"/>
      <c r="D758" s="10"/>
      <c r="E758" s="10"/>
      <c r="F758" s="10"/>
      <c r="G758" s="120"/>
      <c r="H758" s="194"/>
      <c r="I758" s="194"/>
      <c r="J758" s="120"/>
      <c r="K758" s="120"/>
      <c r="L758" s="10"/>
      <c r="Z758" s="122"/>
    </row>
    <row r="759">
      <c r="A759" s="10"/>
      <c r="B759" s="10"/>
      <c r="C759" s="10"/>
      <c r="D759" s="10"/>
      <c r="E759" s="10"/>
      <c r="F759" s="10"/>
      <c r="G759" s="120"/>
      <c r="H759" s="194"/>
      <c r="I759" s="194"/>
      <c r="J759" s="120"/>
      <c r="K759" s="120"/>
      <c r="L759" s="10"/>
      <c r="Z759" s="122"/>
    </row>
    <row r="760">
      <c r="A760" s="10"/>
      <c r="B760" s="10"/>
      <c r="C760" s="10"/>
      <c r="D760" s="10"/>
      <c r="E760" s="10"/>
      <c r="F760" s="10"/>
      <c r="G760" s="120"/>
      <c r="H760" s="194"/>
      <c r="I760" s="194"/>
      <c r="J760" s="120"/>
      <c r="K760" s="120"/>
      <c r="L760" s="10"/>
      <c r="Z760" s="122"/>
    </row>
    <row r="761">
      <c r="A761" s="10"/>
      <c r="B761" s="10"/>
      <c r="C761" s="10"/>
      <c r="D761" s="10"/>
      <c r="E761" s="10"/>
      <c r="F761" s="10"/>
      <c r="G761" s="120"/>
      <c r="H761" s="194"/>
      <c r="I761" s="194"/>
      <c r="J761" s="120"/>
      <c r="K761" s="120"/>
      <c r="L761" s="10"/>
      <c r="Z761" s="122"/>
    </row>
    <row r="762">
      <c r="A762" s="10"/>
      <c r="B762" s="10"/>
      <c r="C762" s="10"/>
      <c r="D762" s="10"/>
      <c r="E762" s="10"/>
      <c r="F762" s="10"/>
      <c r="G762" s="120"/>
      <c r="H762" s="194"/>
      <c r="I762" s="194"/>
      <c r="J762" s="120"/>
      <c r="K762" s="120"/>
      <c r="L762" s="10"/>
      <c r="Z762" s="122"/>
    </row>
    <row r="763">
      <c r="A763" s="10"/>
      <c r="B763" s="10"/>
      <c r="C763" s="10"/>
      <c r="D763" s="10"/>
      <c r="E763" s="10"/>
      <c r="F763" s="10"/>
      <c r="G763" s="120"/>
      <c r="H763" s="194"/>
      <c r="I763" s="194"/>
      <c r="J763" s="120"/>
      <c r="K763" s="120"/>
      <c r="L763" s="10"/>
      <c r="Z763" s="122"/>
    </row>
    <row r="764">
      <c r="A764" s="10"/>
      <c r="B764" s="10"/>
      <c r="C764" s="10"/>
      <c r="D764" s="10"/>
      <c r="E764" s="10"/>
      <c r="F764" s="10"/>
      <c r="G764" s="120"/>
      <c r="H764" s="194"/>
      <c r="I764" s="194"/>
      <c r="J764" s="120"/>
      <c r="K764" s="120"/>
      <c r="L764" s="10"/>
      <c r="Z764" s="122"/>
    </row>
    <row r="765">
      <c r="A765" s="10"/>
      <c r="B765" s="10"/>
      <c r="C765" s="10"/>
      <c r="D765" s="10"/>
      <c r="E765" s="10"/>
      <c r="F765" s="10"/>
      <c r="G765" s="120"/>
      <c r="H765" s="194"/>
      <c r="I765" s="194"/>
      <c r="J765" s="120"/>
      <c r="K765" s="120"/>
      <c r="L765" s="10"/>
      <c r="Z765" s="122"/>
    </row>
    <row r="766">
      <c r="A766" s="10"/>
      <c r="B766" s="10"/>
      <c r="C766" s="10"/>
      <c r="D766" s="10"/>
      <c r="E766" s="10"/>
      <c r="F766" s="10"/>
      <c r="G766" s="120"/>
      <c r="H766" s="194"/>
      <c r="I766" s="194"/>
      <c r="J766" s="120"/>
      <c r="K766" s="120"/>
      <c r="L766" s="10"/>
      <c r="Z766" s="122"/>
    </row>
    <row r="767">
      <c r="A767" s="10"/>
      <c r="B767" s="10"/>
      <c r="C767" s="10"/>
      <c r="D767" s="10"/>
      <c r="E767" s="10"/>
      <c r="F767" s="10"/>
      <c r="G767" s="120"/>
      <c r="H767" s="194"/>
      <c r="I767" s="194"/>
      <c r="J767" s="120"/>
      <c r="K767" s="120"/>
      <c r="L767" s="10"/>
      <c r="Z767" s="122"/>
    </row>
    <row r="768">
      <c r="A768" s="10"/>
      <c r="B768" s="10"/>
      <c r="C768" s="10"/>
      <c r="D768" s="10"/>
      <c r="E768" s="10"/>
      <c r="F768" s="10"/>
      <c r="G768" s="120"/>
      <c r="H768" s="194"/>
      <c r="I768" s="194"/>
      <c r="J768" s="120"/>
      <c r="K768" s="120"/>
      <c r="L768" s="10"/>
      <c r="Z768" s="122"/>
    </row>
    <row r="769">
      <c r="A769" s="10"/>
      <c r="B769" s="10"/>
      <c r="C769" s="10"/>
      <c r="D769" s="10"/>
      <c r="E769" s="10"/>
      <c r="F769" s="10"/>
      <c r="G769" s="120"/>
      <c r="H769" s="194"/>
      <c r="I769" s="194"/>
      <c r="J769" s="120"/>
      <c r="K769" s="120"/>
      <c r="L769" s="10"/>
      <c r="Z769" s="122"/>
    </row>
    <row r="770">
      <c r="A770" s="10"/>
      <c r="B770" s="10"/>
      <c r="C770" s="10"/>
      <c r="D770" s="10"/>
      <c r="E770" s="10"/>
      <c r="F770" s="10"/>
      <c r="G770" s="120"/>
      <c r="H770" s="194"/>
      <c r="I770" s="194"/>
      <c r="J770" s="120"/>
      <c r="K770" s="120"/>
      <c r="L770" s="10"/>
      <c r="Z770" s="122"/>
    </row>
    <row r="771">
      <c r="A771" s="10"/>
      <c r="B771" s="10"/>
      <c r="C771" s="10"/>
      <c r="D771" s="10"/>
      <c r="E771" s="10"/>
      <c r="F771" s="10"/>
      <c r="G771" s="120"/>
      <c r="H771" s="194"/>
      <c r="I771" s="194"/>
      <c r="J771" s="120"/>
      <c r="K771" s="120"/>
      <c r="L771" s="10"/>
      <c r="Z771" s="122"/>
    </row>
    <row r="772">
      <c r="A772" s="10"/>
      <c r="B772" s="10"/>
      <c r="C772" s="10"/>
      <c r="D772" s="10"/>
      <c r="E772" s="10"/>
      <c r="F772" s="10"/>
      <c r="G772" s="120"/>
      <c r="H772" s="194"/>
      <c r="I772" s="194"/>
      <c r="J772" s="120"/>
      <c r="K772" s="120"/>
      <c r="L772" s="10"/>
      <c r="Z772" s="122"/>
    </row>
    <row r="773">
      <c r="A773" s="10"/>
      <c r="B773" s="10"/>
      <c r="C773" s="10"/>
      <c r="D773" s="10"/>
      <c r="E773" s="10"/>
      <c r="F773" s="10"/>
      <c r="G773" s="120"/>
      <c r="H773" s="194"/>
      <c r="I773" s="194"/>
      <c r="J773" s="120"/>
      <c r="K773" s="120"/>
      <c r="L773" s="10"/>
      <c r="Z773" s="122"/>
    </row>
    <row r="774">
      <c r="A774" s="10"/>
      <c r="B774" s="10"/>
      <c r="C774" s="10"/>
      <c r="D774" s="10"/>
      <c r="E774" s="10"/>
      <c r="F774" s="10"/>
      <c r="G774" s="120"/>
      <c r="H774" s="194"/>
      <c r="I774" s="194"/>
      <c r="J774" s="120"/>
      <c r="K774" s="120"/>
      <c r="L774" s="10"/>
      <c r="Z774" s="122"/>
    </row>
    <row r="775">
      <c r="A775" s="10"/>
      <c r="B775" s="10"/>
      <c r="C775" s="10"/>
      <c r="D775" s="10"/>
      <c r="E775" s="10"/>
      <c r="F775" s="10"/>
      <c r="G775" s="120"/>
      <c r="H775" s="194"/>
      <c r="I775" s="194"/>
      <c r="J775" s="120"/>
      <c r="K775" s="120"/>
      <c r="L775" s="10"/>
      <c r="Z775" s="122"/>
    </row>
    <row r="776">
      <c r="A776" s="10"/>
      <c r="B776" s="10"/>
      <c r="C776" s="10"/>
      <c r="D776" s="10"/>
      <c r="E776" s="10"/>
      <c r="F776" s="10"/>
      <c r="G776" s="120"/>
      <c r="H776" s="194"/>
      <c r="I776" s="194"/>
      <c r="J776" s="120"/>
      <c r="K776" s="120"/>
      <c r="L776" s="10"/>
      <c r="Z776" s="122"/>
    </row>
    <row r="777">
      <c r="A777" s="10"/>
      <c r="B777" s="10"/>
      <c r="C777" s="10"/>
      <c r="D777" s="10"/>
      <c r="E777" s="10"/>
      <c r="F777" s="10"/>
      <c r="G777" s="120"/>
      <c r="H777" s="194"/>
      <c r="I777" s="194"/>
      <c r="J777" s="120"/>
      <c r="K777" s="120"/>
      <c r="L777" s="10"/>
      <c r="Z777" s="122"/>
    </row>
    <row r="778">
      <c r="A778" s="10"/>
      <c r="B778" s="10"/>
      <c r="C778" s="10"/>
      <c r="D778" s="10"/>
      <c r="E778" s="10"/>
      <c r="F778" s="10"/>
      <c r="G778" s="120"/>
      <c r="H778" s="194"/>
      <c r="I778" s="194"/>
      <c r="J778" s="120"/>
      <c r="K778" s="120"/>
      <c r="L778" s="10"/>
      <c r="Z778" s="122"/>
    </row>
    <row r="779">
      <c r="A779" s="10"/>
      <c r="B779" s="10"/>
      <c r="C779" s="10"/>
      <c r="D779" s="10"/>
      <c r="E779" s="10"/>
      <c r="F779" s="10"/>
      <c r="G779" s="120"/>
      <c r="H779" s="194"/>
      <c r="I779" s="194"/>
      <c r="J779" s="120"/>
      <c r="K779" s="120"/>
      <c r="L779" s="10"/>
      <c r="Z779" s="122"/>
    </row>
    <row r="780">
      <c r="A780" s="10"/>
      <c r="B780" s="10"/>
      <c r="C780" s="10"/>
      <c r="D780" s="10"/>
      <c r="E780" s="10"/>
      <c r="F780" s="10"/>
      <c r="G780" s="120"/>
      <c r="H780" s="194"/>
      <c r="I780" s="194"/>
      <c r="J780" s="120"/>
      <c r="K780" s="120"/>
      <c r="L780" s="10"/>
      <c r="Z780" s="122"/>
    </row>
    <row r="781">
      <c r="A781" s="10"/>
      <c r="B781" s="10"/>
      <c r="C781" s="10"/>
      <c r="D781" s="10"/>
      <c r="E781" s="10"/>
      <c r="F781" s="10"/>
      <c r="G781" s="120"/>
      <c r="H781" s="194"/>
      <c r="I781" s="194"/>
      <c r="J781" s="120"/>
      <c r="K781" s="120"/>
      <c r="L781" s="10"/>
      <c r="Z781" s="122"/>
    </row>
    <row r="782">
      <c r="A782" s="10"/>
      <c r="B782" s="10"/>
      <c r="C782" s="10"/>
      <c r="D782" s="10"/>
      <c r="E782" s="10"/>
      <c r="F782" s="10"/>
      <c r="G782" s="120"/>
      <c r="H782" s="194"/>
      <c r="I782" s="194"/>
      <c r="J782" s="120"/>
      <c r="K782" s="120"/>
      <c r="L782" s="10"/>
      <c r="Z782" s="122"/>
    </row>
    <row r="783">
      <c r="A783" s="10"/>
      <c r="B783" s="10"/>
      <c r="C783" s="10"/>
      <c r="D783" s="10"/>
      <c r="E783" s="10"/>
      <c r="F783" s="10"/>
      <c r="G783" s="120"/>
      <c r="H783" s="194"/>
      <c r="I783" s="194"/>
      <c r="J783" s="120"/>
      <c r="K783" s="120"/>
      <c r="L783" s="10"/>
      <c r="Z783" s="122"/>
    </row>
    <row r="784">
      <c r="A784" s="10"/>
      <c r="B784" s="10"/>
      <c r="C784" s="10"/>
      <c r="D784" s="10"/>
      <c r="E784" s="10"/>
      <c r="F784" s="10"/>
      <c r="G784" s="120"/>
      <c r="H784" s="194"/>
      <c r="I784" s="194"/>
      <c r="J784" s="120"/>
      <c r="K784" s="120"/>
      <c r="L784" s="10"/>
      <c r="Z784" s="122"/>
    </row>
    <row r="785">
      <c r="A785" s="10"/>
      <c r="B785" s="10"/>
      <c r="C785" s="10"/>
      <c r="D785" s="10"/>
      <c r="E785" s="10"/>
      <c r="F785" s="10"/>
      <c r="G785" s="120"/>
      <c r="H785" s="194"/>
      <c r="I785" s="194"/>
      <c r="J785" s="120"/>
      <c r="K785" s="120"/>
      <c r="L785" s="10"/>
      <c r="Z785" s="122"/>
    </row>
    <row r="786">
      <c r="A786" s="10"/>
      <c r="B786" s="10"/>
      <c r="C786" s="10"/>
      <c r="D786" s="10"/>
      <c r="E786" s="10"/>
      <c r="F786" s="10"/>
      <c r="G786" s="120"/>
      <c r="H786" s="194"/>
      <c r="I786" s="194"/>
      <c r="J786" s="120"/>
      <c r="K786" s="120"/>
      <c r="L786" s="10"/>
      <c r="Z786" s="122"/>
    </row>
    <row r="787">
      <c r="A787" s="10"/>
      <c r="B787" s="10"/>
      <c r="C787" s="10"/>
      <c r="D787" s="10"/>
      <c r="E787" s="10"/>
      <c r="F787" s="10"/>
      <c r="G787" s="120"/>
      <c r="H787" s="194"/>
      <c r="I787" s="194"/>
      <c r="J787" s="120"/>
      <c r="K787" s="120"/>
      <c r="L787" s="10"/>
      <c r="Z787" s="122"/>
    </row>
    <row r="788">
      <c r="A788" s="10"/>
      <c r="B788" s="10"/>
      <c r="C788" s="10"/>
      <c r="D788" s="10"/>
      <c r="E788" s="10"/>
      <c r="F788" s="10"/>
      <c r="G788" s="120"/>
      <c r="H788" s="194"/>
      <c r="I788" s="194"/>
      <c r="J788" s="120"/>
      <c r="K788" s="120"/>
      <c r="L788" s="10"/>
      <c r="Z788" s="122"/>
    </row>
    <row r="789">
      <c r="A789" s="10"/>
      <c r="B789" s="10"/>
      <c r="C789" s="10"/>
      <c r="D789" s="10"/>
      <c r="E789" s="10"/>
      <c r="F789" s="10"/>
      <c r="G789" s="120"/>
      <c r="H789" s="194"/>
      <c r="I789" s="194"/>
      <c r="J789" s="120"/>
      <c r="K789" s="120"/>
      <c r="L789" s="10"/>
      <c r="Z789" s="122"/>
    </row>
    <row r="790">
      <c r="A790" s="10"/>
      <c r="B790" s="10"/>
      <c r="C790" s="10"/>
      <c r="D790" s="10"/>
      <c r="E790" s="10"/>
      <c r="F790" s="10"/>
      <c r="G790" s="120"/>
      <c r="H790" s="194"/>
      <c r="I790" s="194"/>
      <c r="J790" s="120"/>
      <c r="K790" s="120"/>
      <c r="L790" s="10"/>
      <c r="Z790" s="122"/>
    </row>
    <row r="791">
      <c r="A791" s="10"/>
      <c r="B791" s="10"/>
      <c r="C791" s="10"/>
      <c r="D791" s="10"/>
      <c r="E791" s="10"/>
      <c r="F791" s="10"/>
      <c r="G791" s="120"/>
      <c r="H791" s="194"/>
      <c r="I791" s="194"/>
      <c r="J791" s="120"/>
      <c r="K791" s="120"/>
      <c r="L791" s="10"/>
      <c r="Z791" s="122"/>
    </row>
    <row r="792">
      <c r="A792" s="10"/>
      <c r="B792" s="10"/>
      <c r="C792" s="10"/>
      <c r="D792" s="10"/>
      <c r="E792" s="10"/>
      <c r="F792" s="10"/>
      <c r="G792" s="120"/>
      <c r="H792" s="194"/>
      <c r="I792" s="194"/>
      <c r="J792" s="120"/>
      <c r="K792" s="120"/>
      <c r="L792" s="10"/>
      <c r="Z792" s="122"/>
    </row>
    <row r="793">
      <c r="A793" s="10"/>
      <c r="B793" s="10"/>
      <c r="C793" s="10"/>
      <c r="D793" s="10"/>
      <c r="E793" s="10"/>
      <c r="F793" s="10"/>
      <c r="G793" s="120"/>
      <c r="H793" s="194"/>
      <c r="I793" s="194"/>
      <c r="J793" s="120"/>
      <c r="K793" s="120"/>
      <c r="L793" s="10"/>
      <c r="Z793" s="122"/>
    </row>
    <row r="794">
      <c r="A794" s="10"/>
      <c r="B794" s="10"/>
      <c r="C794" s="10"/>
      <c r="D794" s="10"/>
      <c r="E794" s="10"/>
      <c r="F794" s="10"/>
      <c r="G794" s="120"/>
      <c r="H794" s="194"/>
      <c r="I794" s="194"/>
      <c r="J794" s="120"/>
      <c r="K794" s="120"/>
      <c r="L794" s="10"/>
      <c r="Z794" s="122"/>
    </row>
    <row r="795">
      <c r="A795" s="10"/>
      <c r="B795" s="10"/>
      <c r="C795" s="10"/>
      <c r="D795" s="10"/>
      <c r="E795" s="10"/>
      <c r="F795" s="10"/>
      <c r="G795" s="120"/>
      <c r="H795" s="194"/>
      <c r="I795" s="194"/>
      <c r="J795" s="120"/>
      <c r="K795" s="120"/>
      <c r="L795" s="10"/>
      <c r="Z795" s="122"/>
    </row>
    <row r="796">
      <c r="A796" s="10"/>
      <c r="B796" s="10"/>
      <c r="C796" s="10"/>
      <c r="D796" s="10"/>
      <c r="E796" s="10"/>
      <c r="F796" s="10"/>
      <c r="G796" s="120"/>
      <c r="H796" s="194"/>
      <c r="I796" s="194"/>
      <c r="J796" s="120"/>
      <c r="K796" s="120"/>
      <c r="L796" s="10"/>
      <c r="Z796" s="122"/>
    </row>
    <row r="797">
      <c r="A797" s="10"/>
      <c r="B797" s="10"/>
      <c r="C797" s="10"/>
      <c r="D797" s="10"/>
      <c r="E797" s="10"/>
      <c r="F797" s="10"/>
      <c r="G797" s="120"/>
      <c r="H797" s="194"/>
      <c r="I797" s="194"/>
      <c r="J797" s="120"/>
      <c r="K797" s="120"/>
      <c r="L797" s="10"/>
      <c r="Z797" s="122"/>
    </row>
    <row r="798">
      <c r="A798" s="10"/>
      <c r="B798" s="10"/>
      <c r="C798" s="10"/>
      <c r="D798" s="10"/>
      <c r="E798" s="10"/>
      <c r="F798" s="10"/>
      <c r="G798" s="120"/>
      <c r="H798" s="194"/>
      <c r="I798" s="194"/>
      <c r="J798" s="120"/>
      <c r="K798" s="120"/>
      <c r="L798" s="10"/>
      <c r="Z798" s="122"/>
    </row>
    <row r="799">
      <c r="A799" s="10"/>
      <c r="B799" s="10"/>
      <c r="C799" s="10"/>
      <c r="D799" s="10"/>
      <c r="E799" s="10"/>
      <c r="F799" s="10"/>
      <c r="G799" s="120"/>
      <c r="H799" s="194"/>
      <c r="I799" s="194"/>
      <c r="J799" s="120"/>
      <c r="K799" s="120"/>
      <c r="L799" s="10"/>
      <c r="Z799" s="122"/>
    </row>
    <row r="800">
      <c r="A800" s="10"/>
      <c r="B800" s="10"/>
      <c r="C800" s="10"/>
      <c r="D800" s="10"/>
      <c r="E800" s="10"/>
      <c r="F800" s="10"/>
      <c r="G800" s="120"/>
      <c r="H800" s="194"/>
      <c r="I800" s="194"/>
      <c r="J800" s="120"/>
      <c r="K800" s="120"/>
      <c r="L800" s="10"/>
      <c r="Z800" s="122"/>
    </row>
    <row r="801">
      <c r="A801" s="10"/>
      <c r="B801" s="10"/>
      <c r="C801" s="10"/>
      <c r="D801" s="10"/>
      <c r="E801" s="10"/>
      <c r="F801" s="10"/>
      <c r="G801" s="120"/>
      <c r="H801" s="194"/>
      <c r="I801" s="194"/>
      <c r="J801" s="120"/>
      <c r="K801" s="120"/>
      <c r="L801" s="10"/>
      <c r="Z801" s="122"/>
    </row>
    <row r="802">
      <c r="A802" s="10"/>
      <c r="B802" s="10"/>
      <c r="C802" s="10"/>
      <c r="D802" s="10"/>
      <c r="E802" s="10"/>
      <c r="F802" s="10"/>
      <c r="G802" s="120"/>
      <c r="H802" s="194"/>
      <c r="I802" s="194"/>
      <c r="J802" s="120"/>
      <c r="K802" s="120"/>
      <c r="L802" s="10"/>
      <c r="Z802" s="122"/>
    </row>
    <row r="803">
      <c r="A803" s="10"/>
      <c r="B803" s="10"/>
      <c r="C803" s="10"/>
      <c r="D803" s="10"/>
      <c r="E803" s="10"/>
      <c r="F803" s="10"/>
      <c r="G803" s="120"/>
      <c r="H803" s="194"/>
      <c r="I803" s="194"/>
      <c r="J803" s="120"/>
      <c r="K803" s="120"/>
      <c r="L803" s="10"/>
      <c r="Z803" s="122"/>
    </row>
    <row r="804">
      <c r="A804" s="10"/>
      <c r="B804" s="10"/>
      <c r="C804" s="10"/>
      <c r="D804" s="10"/>
      <c r="E804" s="10"/>
      <c r="F804" s="10"/>
      <c r="G804" s="120"/>
      <c r="H804" s="194"/>
      <c r="I804" s="194"/>
      <c r="J804" s="120"/>
      <c r="K804" s="120"/>
      <c r="L804" s="10"/>
      <c r="Z804" s="122"/>
    </row>
    <row r="805">
      <c r="A805" s="10"/>
      <c r="B805" s="10"/>
      <c r="C805" s="10"/>
      <c r="D805" s="10"/>
      <c r="E805" s="10"/>
      <c r="F805" s="10"/>
      <c r="G805" s="120"/>
      <c r="H805" s="194"/>
      <c r="I805" s="194"/>
      <c r="J805" s="120"/>
      <c r="K805" s="120"/>
      <c r="L805" s="10"/>
      <c r="Z805" s="122"/>
    </row>
    <row r="806">
      <c r="A806" s="10"/>
      <c r="B806" s="10"/>
      <c r="C806" s="10"/>
      <c r="D806" s="10"/>
      <c r="E806" s="10"/>
      <c r="F806" s="10"/>
      <c r="G806" s="120"/>
      <c r="H806" s="194"/>
      <c r="I806" s="194"/>
      <c r="J806" s="120"/>
      <c r="K806" s="120"/>
      <c r="L806" s="10"/>
      <c r="Z806" s="122"/>
    </row>
    <row r="807">
      <c r="A807" s="10"/>
      <c r="B807" s="10"/>
      <c r="C807" s="10"/>
      <c r="D807" s="10"/>
      <c r="E807" s="10"/>
      <c r="F807" s="10"/>
      <c r="G807" s="120"/>
      <c r="H807" s="194"/>
      <c r="I807" s="194"/>
      <c r="J807" s="120"/>
      <c r="K807" s="120"/>
      <c r="L807" s="10"/>
      <c r="Z807" s="122"/>
    </row>
    <row r="808">
      <c r="A808" s="10"/>
      <c r="B808" s="10"/>
      <c r="C808" s="10"/>
      <c r="D808" s="10"/>
      <c r="E808" s="10"/>
      <c r="F808" s="10"/>
      <c r="G808" s="120"/>
      <c r="H808" s="194"/>
      <c r="I808" s="194"/>
      <c r="J808" s="120"/>
      <c r="K808" s="120"/>
      <c r="L808" s="10"/>
      <c r="Z808" s="122"/>
    </row>
    <row r="809">
      <c r="A809" s="10"/>
      <c r="B809" s="10"/>
      <c r="C809" s="10"/>
      <c r="D809" s="10"/>
      <c r="E809" s="10"/>
      <c r="F809" s="10"/>
      <c r="G809" s="120"/>
      <c r="H809" s="194"/>
      <c r="I809" s="194"/>
      <c r="J809" s="120"/>
      <c r="K809" s="120"/>
      <c r="L809" s="10"/>
      <c r="Z809" s="122"/>
    </row>
    <row r="810">
      <c r="A810" s="10"/>
      <c r="B810" s="10"/>
      <c r="C810" s="10"/>
      <c r="D810" s="10"/>
      <c r="E810" s="10"/>
      <c r="F810" s="10"/>
      <c r="G810" s="120"/>
      <c r="H810" s="194"/>
      <c r="I810" s="194"/>
      <c r="J810" s="120"/>
      <c r="K810" s="120"/>
      <c r="L810" s="10"/>
      <c r="Z810" s="122"/>
    </row>
    <row r="811">
      <c r="A811" s="10"/>
      <c r="B811" s="10"/>
      <c r="C811" s="10"/>
      <c r="D811" s="10"/>
      <c r="E811" s="10"/>
      <c r="F811" s="10"/>
      <c r="G811" s="120"/>
      <c r="H811" s="194"/>
      <c r="I811" s="194"/>
      <c r="J811" s="120"/>
      <c r="K811" s="120"/>
      <c r="L811" s="10"/>
      <c r="Z811" s="122"/>
    </row>
    <row r="812">
      <c r="A812" s="10"/>
      <c r="B812" s="10"/>
      <c r="C812" s="10"/>
      <c r="D812" s="10"/>
      <c r="E812" s="10"/>
      <c r="F812" s="10"/>
      <c r="G812" s="120"/>
      <c r="H812" s="194"/>
      <c r="I812" s="194"/>
      <c r="J812" s="120"/>
      <c r="K812" s="120"/>
      <c r="L812" s="10"/>
      <c r="Z812" s="122"/>
    </row>
    <row r="813">
      <c r="A813" s="10"/>
      <c r="B813" s="10"/>
      <c r="C813" s="10"/>
      <c r="D813" s="10"/>
      <c r="E813" s="10"/>
      <c r="F813" s="10"/>
      <c r="G813" s="120"/>
      <c r="H813" s="194"/>
      <c r="I813" s="194"/>
      <c r="J813" s="120"/>
      <c r="K813" s="120"/>
      <c r="L813" s="10"/>
      <c r="Z813" s="122"/>
    </row>
    <row r="814">
      <c r="A814" s="10"/>
      <c r="B814" s="10"/>
      <c r="C814" s="10"/>
      <c r="D814" s="10"/>
      <c r="E814" s="10"/>
      <c r="F814" s="10"/>
      <c r="G814" s="120"/>
      <c r="H814" s="194"/>
      <c r="I814" s="194"/>
      <c r="J814" s="120"/>
      <c r="K814" s="120"/>
      <c r="L814" s="10"/>
      <c r="Z814" s="122"/>
    </row>
    <row r="815">
      <c r="A815" s="10"/>
      <c r="B815" s="10"/>
      <c r="C815" s="10"/>
      <c r="D815" s="10"/>
      <c r="E815" s="10"/>
      <c r="F815" s="10"/>
      <c r="G815" s="120"/>
      <c r="H815" s="194"/>
      <c r="I815" s="194"/>
      <c r="J815" s="120"/>
      <c r="K815" s="120"/>
      <c r="L815" s="10"/>
      <c r="Z815" s="122"/>
    </row>
    <row r="816">
      <c r="A816" s="10"/>
      <c r="B816" s="10"/>
      <c r="C816" s="10"/>
      <c r="D816" s="10"/>
      <c r="E816" s="10"/>
      <c r="F816" s="10"/>
      <c r="G816" s="120"/>
      <c r="H816" s="194"/>
      <c r="I816" s="194"/>
      <c r="J816" s="120"/>
      <c r="K816" s="120"/>
      <c r="L816" s="10"/>
      <c r="Z816" s="122"/>
    </row>
    <row r="817">
      <c r="A817" s="10"/>
      <c r="B817" s="10"/>
      <c r="C817" s="10"/>
      <c r="D817" s="10"/>
      <c r="E817" s="10"/>
      <c r="F817" s="10"/>
      <c r="G817" s="120"/>
      <c r="H817" s="194"/>
      <c r="I817" s="194"/>
      <c r="J817" s="120"/>
      <c r="K817" s="120"/>
      <c r="L817" s="10"/>
      <c r="Z817" s="122"/>
    </row>
    <row r="818">
      <c r="A818" s="10"/>
      <c r="B818" s="10"/>
      <c r="C818" s="10"/>
      <c r="D818" s="10"/>
      <c r="E818" s="10"/>
      <c r="F818" s="10"/>
      <c r="G818" s="120"/>
      <c r="H818" s="194"/>
      <c r="I818" s="194"/>
      <c r="J818" s="120"/>
      <c r="K818" s="120"/>
      <c r="L818" s="10"/>
      <c r="Z818" s="122"/>
    </row>
    <row r="819">
      <c r="A819" s="10"/>
      <c r="B819" s="10"/>
      <c r="C819" s="10"/>
      <c r="D819" s="10"/>
      <c r="E819" s="10"/>
      <c r="F819" s="10"/>
      <c r="G819" s="120"/>
      <c r="H819" s="194"/>
      <c r="I819" s="194"/>
      <c r="J819" s="120"/>
      <c r="K819" s="120"/>
      <c r="L819" s="10"/>
      <c r="Z819" s="122"/>
    </row>
    <row r="820">
      <c r="A820" s="10"/>
      <c r="B820" s="10"/>
      <c r="C820" s="10"/>
      <c r="D820" s="10"/>
      <c r="E820" s="10"/>
      <c r="F820" s="10"/>
      <c r="G820" s="120"/>
      <c r="H820" s="194"/>
      <c r="I820" s="194"/>
      <c r="J820" s="120"/>
      <c r="K820" s="120"/>
      <c r="L820" s="10"/>
      <c r="Z820" s="122"/>
    </row>
    <row r="821">
      <c r="A821" s="10"/>
      <c r="B821" s="10"/>
      <c r="C821" s="10"/>
      <c r="D821" s="10"/>
      <c r="E821" s="10"/>
      <c r="F821" s="10"/>
      <c r="G821" s="120"/>
      <c r="H821" s="194"/>
      <c r="I821" s="194"/>
      <c r="J821" s="120"/>
      <c r="K821" s="120"/>
      <c r="L821" s="10"/>
      <c r="Z821" s="122"/>
    </row>
    <row r="822">
      <c r="A822" s="10"/>
      <c r="B822" s="10"/>
      <c r="C822" s="10"/>
      <c r="D822" s="10"/>
      <c r="E822" s="10"/>
      <c r="F822" s="10"/>
      <c r="G822" s="120"/>
      <c r="H822" s="194"/>
      <c r="I822" s="194"/>
      <c r="J822" s="120"/>
      <c r="K822" s="120"/>
      <c r="L822" s="10"/>
      <c r="Z822" s="122"/>
    </row>
    <row r="823">
      <c r="A823" s="10"/>
      <c r="B823" s="10"/>
      <c r="C823" s="10"/>
      <c r="D823" s="10"/>
      <c r="E823" s="10"/>
      <c r="F823" s="10"/>
      <c r="G823" s="120"/>
      <c r="H823" s="194"/>
      <c r="I823" s="194"/>
      <c r="J823" s="120"/>
      <c r="K823" s="120"/>
      <c r="L823" s="10"/>
      <c r="Z823" s="122"/>
    </row>
    <row r="824">
      <c r="A824" s="10"/>
      <c r="B824" s="10"/>
      <c r="C824" s="10"/>
      <c r="D824" s="10"/>
      <c r="E824" s="10"/>
      <c r="F824" s="10"/>
      <c r="G824" s="120"/>
      <c r="H824" s="194"/>
      <c r="I824" s="194"/>
      <c r="J824" s="120"/>
      <c r="K824" s="120"/>
      <c r="L824" s="10"/>
      <c r="Z824" s="122"/>
    </row>
    <row r="825">
      <c r="A825" s="10"/>
      <c r="B825" s="10"/>
      <c r="C825" s="10"/>
      <c r="D825" s="10"/>
      <c r="E825" s="10"/>
      <c r="F825" s="10"/>
      <c r="G825" s="120"/>
      <c r="H825" s="194"/>
      <c r="I825" s="194"/>
      <c r="J825" s="120"/>
      <c r="K825" s="120"/>
      <c r="L825" s="10"/>
      <c r="Z825" s="122"/>
    </row>
    <row r="826">
      <c r="A826" s="10"/>
      <c r="B826" s="10"/>
      <c r="C826" s="10"/>
      <c r="D826" s="10"/>
      <c r="E826" s="10"/>
      <c r="F826" s="10"/>
      <c r="G826" s="120"/>
      <c r="H826" s="194"/>
      <c r="I826" s="194"/>
      <c r="J826" s="120"/>
      <c r="K826" s="120"/>
      <c r="L826" s="10"/>
      <c r="Z826" s="122"/>
    </row>
    <row r="827">
      <c r="A827" s="10"/>
      <c r="B827" s="10"/>
      <c r="C827" s="10"/>
      <c r="D827" s="10"/>
      <c r="E827" s="10"/>
      <c r="F827" s="10"/>
      <c r="G827" s="120"/>
      <c r="H827" s="194"/>
      <c r="I827" s="194"/>
      <c r="J827" s="120"/>
      <c r="K827" s="120"/>
      <c r="L827" s="10"/>
      <c r="Z827" s="122"/>
    </row>
    <row r="828">
      <c r="A828" s="10"/>
      <c r="B828" s="10"/>
      <c r="C828" s="10"/>
      <c r="D828" s="10"/>
      <c r="E828" s="10"/>
      <c r="F828" s="10"/>
      <c r="G828" s="120"/>
      <c r="H828" s="194"/>
      <c r="I828" s="194"/>
      <c r="J828" s="120"/>
      <c r="K828" s="120"/>
      <c r="L828" s="10"/>
      <c r="Z828" s="122"/>
    </row>
    <row r="829">
      <c r="A829" s="10"/>
      <c r="B829" s="10"/>
      <c r="C829" s="10"/>
      <c r="D829" s="10"/>
      <c r="E829" s="10"/>
      <c r="F829" s="10"/>
      <c r="G829" s="120"/>
      <c r="H829" s="194"/>
      <c r="I829" s="194"/>
      <c r="J829" s="120"/>
      <c r="K829" s="120"/>
      <c r="L829" s="10"/>
      <c r="Z829" s="122"/>
    </row>
    <row r="830">
      <c r="A830" s="10"/>
      <c r="B830" s="10"/>
      <c r="C830" s="10"/>
      <c r="D830" s="10"/>
      <c r="E830" s="10"/>
      <c r="F830" s="10"/>
      <c r="G830" s="120"/>
      <c r="H830" s="194"/>
      <c r="I830" s="194"/>
      <c r="J830" s="120"/>
      <c r="K830" s="120"/>
      <c r="L830" s="10"/>
      <c r="Z830" s="122"/>
    </row>
    <row r="831">
      <c r="A831" s="10"/>
      <c r="B831" s="10"/>
      <c r="C831" s="10"/>
      <c r="D831" s="10"/>
      <c r="E831" s="10"/>
      <c r="F831" s="10"/>
      <c r="G831" s="120"/>
      <c r="H831" s="194"/>
      <c r="I831" s="194"/>
      <c r="J831" s="120"/>
      <c r="K831" s="120"/>
      <c r="L831" s="10"/>
      <c r="Z831" s="122"/>
    </row>
    <row r="832">
      <c r="A832" s="10"/>
      <c r="B832" s="10"/>
      <c r="C832" s="10"/>
      <c r="D832" s="10"/>
      <c r="E832" s="10"/>
      <c r="F832" s="10"/>
      <c r="G832" s="120"/>
      <c r="H832" s="194"/>
      <c r="I832" s="194"/>
      <c r="J832" s="120"/>
      <c r="K832" s="120"/>
      <c r="L832" s="10"/>
      <c r="Z832" s="122"/>
    </row>
    <row r="833">
      <c r="A833" s="10"/>
      <c r="B833" s="10"/>
      <c r="C833" s="10"/>
      <c r="D833" s="10"/>
      <c r="E833" s="10"/>
      <c r="F833" s="10"/>
      <c r="G833" s="120"/>
      <c r="H833" s="194"/>
      <c r="I833" s="194"/>
      <c r="J833" s="120"/>
      <c r="K833" s="120"/>
      <c r="L833" s="10"/>
      <c r="Z833" s="122"/>
    </row>
    <row r="834">
      <c r="A834" s="10"/>
      <c r="B834" s="10"/>
      <c r="C834" s="10"/>
      <c r="D834" s="10"/>
      <c r="E834" s="10"/>
      <c r="F834" s="10"/>
      <c r="G834" s="120"/>
      <c r="H834" s="194"/>
      <c r="I834" s="194"/>
      <c r="J834" s="120"/>
      <c r="K834" s="120"/>
      <c r="L834" s="10"/>
      <c r="Z834" s="122"/>
    </row>
    <row r="835">
      <c r="A835" s="10"/>
      <c r="B835" s="10"/>
      <c r="C835" s="10"/>
      <c r="D835" s="10"/>
      <c r="E835" s="10"/>
      <c r="F835" s="10"/>
      <c r="G835" s="120"/>
      <c r="H835" s="194"/>
      <c r="I835" s="194"/>
      <c r="J835" s="120"/>
      <c r="K835" s="120"/>
      <c r="L835" s="10"/>
      <c r="Z835" s="122"/>
    </row>
    <row r="836">
      <c r="A836" s="10"/>
      <c r="B836" s="10"/>
      <c r="C836" s="10"/>
      <c r="D836" s="10"/>
      <c r="E836" s="10"/>
      <c r="F836" s="10"/>
      <c r="G836" s="120"/>
      <c r="H836" s="194"/>
      <c r="I836" s="194"/>
      <c r="J836" s="120"/>
      <c r="K836" s="120"/>
      <c r="L836" s="10"/>
      <c r="Z836" s="122"/>
    </row>
    <row r="837">
      <c r="A837" s="10"/>
      <c r="B837" s="10"/>
      <c r="C837" s="10"/>
      <c r="D837" s="10"/>
      <c r="E837" s="10"/>
      <c r="F837" s="10"/>
      <c r="G837" s="120"/>
      <c r="H837" s="194"/>
      <c r="I837" s="194"/>
      <c r="J837" s="120"/>
      <c r="K837" s="120"/>
      <c r="L837" s="10"/>
      <c r="Z837" s="122"/>
    </row>
    <row r="838">
      <c r="A838" s="10"/>
      <c r="B838" s="10"/>
      <c r="C838" s="10"/>
      <c r="D838" s="10"/>
      <c r="E838" s="10"/>
      <c r="F838" s="10"/>
      <c r="G838" s="120"/>
      <c r="H838" s="194"/>
      <c r="I838" s="194"/>
      <c r="J838" s="120"/>
      <c r="K838" s="120"/>
      <c r="L838" s="10"/>
      <c r="Z838" s="122"/>
    </row>
    <row r="839">
      <c r="A839" s="10"/>
      <c r="B839" s="10"/>
      <c r="C839" s="10"/>
      <c r="D839" s="10"/>
      <c r="E839" s="10"/>
      <c r="F839" s="10"/>
      <c r="G839" s="120"/>
      <c r="H839" s="194"/>
      <c r="I839" s="194"/>
      <c r="J839" s="120"/>
      <c r="K839" s="120"/>
      <c r="L839" s="10"/>
      <c r="Z839" s="122"/>
    </row>
    <row r="840">
      <c r="A840" s="10"/>
      <c r="B840" s="10"/>
      <c r="C840" s="10"/>
      <c r="D840" s="10"/>
      <c r="E840" s="10"/>
      <c r="F840" s="10"/>
      <c r="G840" s="120"/>
      <c r="H840" s="194"/>
      <c r="I840" s="194"/>
      <c r="J840" s="120"/>
      <c r="K840" s="120"/>
      <c r="L840" s="10"/>
      <c r="Z840" s="122"/>
    </row>
    <row r="841">
      <c r="A841" s="10"/>
      <c r="B841" s="10"/>
      <c r="C841" s="10"/>
      <c r="D841" s="10"/>
      <c r="E841" s="10"/>
      <c r="F841" s="10"/>
      <c r="G841" s="120"/>
      <c r="H841" s="194"/>
      <c r="I841" s="194"/>
      <c r="J841" s="120"/>
      <c r="K841" s="120"/>
      <c r="L841" s="10"/>
      <c r="Z841" s="122"/>
    </row>
    <row r="842">
      <c r="A842" s="10"/>
      <c r="B842" s="10"/>
      <c r="C842" s="10"/>
      <c r="D842" s="10"/>
      <c r="E842" s="10"/>
      <c r="F842" s="10"/>
      <c r="G842" s="120"/>
      <c r="H842" s="194"/>
      <c r="I842" s="194"/>
      <c r="J842" s="120"/>
      <c r="K842" s="120"/>
      <c r="L842" s="10"/>
      <c r="Z842" s="122"/>
    </row>
    <row r="843">
      <c r="A843" s="10"/>
      <c r="B843" s="10"/>
      <c r="C843" s="10"/>
      <c r="D843" s="10"/>
      <c r="E843" s="10"/>
      <c r="F843" s="10"/>
      <c r="G843" s="120"/>
      <c r="H843" s="194"/>
      <c r="I843" s="194"/>
      <c r="J843" s="120"/>
      <c r="K843" s="120"/>
      <c r="L843" s="10"/>
      <c r="Z843" s="122"/>
    </row>
    <row r="844">
      <c r="A844" s="10"/>
      <c r="B844" s="10"/>
      <c r="C844" s="10"/>
      <c r="D844" s="10"/>
      <c r="E844" s="10"/>
      <c r="F844" s="10"/>
      <c r="G844" s="120"/>
      <c r="H844" s="194"/>
      <c r="I844" s="194"/>
      <c r="J844" s="120"/>
      <c r="K844" s="120"/>
      <c r="L844" s="10"/>
      <c r="Z844" s="122"/>
    </row>
    <row r="845">
      <c r="A845" s="10"/>
      <c r="B845" s="10"/>
      <c r="C845" s="10"/>
      <c r="D845" s="10"/>
      <c r="E845" s="10"/>
      <c r="F845" s="10"/>
      <c r="G845" s="120"/>
      <c r="H845" s="194"/>
      <c r="I845" s="194"/>
      <c r="J845" s="120"/>
      <c r="K845" s="120"/>
      <c r="L845" s="10"/>
      <c r="Z845" s="122"/>
    </row>
    <row r="846">
      <c r="A846" s="10"/>
      <c r="B846" s="10"/>
      <c r="C846" s="10"/>
      <c r="D846" s="10"/>
      <c r="E846" s="10"/>
      <c r="F846" s="10"/>
      <c r="G846" s="120"/>
      <c r="H846" s="194"/>
      <c r="I846" s="194"/>
      <c r="J846" s="120"/>
      <c r="K846" s="120"/>
      <c r="L846" s="10"/>
      <c r="Z846" s="122"/>
    </row>
    <row r="847">
      <c r="A847" s="10"/>
      <c r="B847" s="10"/>
      <c r="C847" s="10"/>
      <c r="D847" s="10"/>
      <c r="E847" s="10"/>
      <c r="F847" s="10"/>
      <c r="G847" s="120"/>
      <c r="H847" s="194"/>
      <c r="I847" s="194"/>
      <c r="J847" s="120"/>
      <c r="K847" s="120"/>
      <c r="L847" s="10"/>
      <c r="Z847" s="122"/>
    </row>
    <row r="848">
      <c r="A848" s="10"/>
      <c r="B848" s="10"/>
      <c r="C848" s="10"/>
      <c r="D848" s="10"/>
      <c r="E848" s="10"/>
      <c r="F848" s="10"/>
      <c r="G848" s="120"/>
      <c r="H848" s="194"/>
      <c r="I848" s="194"/>
      <c r="J848" s="120"/>
      <c r="K848" s="120"/>
      <c r="L848" s="10"/>
      <c r="Z848" s="122"/>
    </row>
    <row r="849">
      <c r="A849" s="10"/>
      <c r="B849" s="10"/>
      <c r="C849" s="10"/>
      <c r="D849" s="10"/>
      <c r="E849" s="10"/>
      <c r="F849" s="10"/>
      <c r="G849" s="120"/>
      <c r="H849" s="194"/>
      <c r="I849" s="194"/>
      <c r="J849" s="120"/>
      <c r="K849" s="120"/>
      <c r="L849" s="10"/>
      <c r="Z849" s="122"/>
    </row>
    <row r="850">
      <c r="A850" s="10"/>
      <c r="B850" s="10"/>
      <c r="C850" s="10"/>
      <c r="D850" s="10"/>
      <c r="E850" s="10"/>
      <c r="F850" s="10"/>
      <c r="G850" s="120"/>
      <c r="H850" s="194"/>
      <c r="I850" s="194"/>
      <c r="J850" s="120"/>
      <c r="K850" s="120"/>
      <c r="L850" s="10"/>
      <c r="Z850" s="122"/>
    </row>
    <row r="851">
      <c r="A851" s="10"/>
      <c r="B851" s="10"/>
      <c r="C851" s="10"/>
      <c r="D851" s="10"/>
      <c r="E851" s="10"/>
      <c r="F851" s="10"/>
      <c r="G851" s="120"/>
      <c r="H851" s="194"/>
      <c r="I851" s="194"/>
      <c r="J851" s="120"/>
      <c r="K851" s="120"/>
      <c r="L851" s="10"/>
      <c r="Z851" s="122"/>
    </row>
    <row r="852">
      <c r="A852" s="10"/>
      <c r="B852" s="10"/>
      <c r="C852" s="10"/>
      <c r="D852" s="10"/>
      <c r="E852" s="10"/>
      <c r="F852" s="10"/>
      <c r="G852" s="120"/>
      <c r="H852" s="194"/>
      <c r="I852" s="194"/>
      <c r="J852" s="120"/>
      <c r="K852" s="120"/>
      <c r="L852" s="10"/>
      <c r="Z852" s="122"/>
    </row>
    <row r="853">
      <c r="A853" s="10"/>
      <c r="B853" s="10"/>
      <c r="C853" s="10"/>
      <c r="D853" s="10"/>
      <c r="E853" s="10"/>
      <c r="F853" s="10"/>
      <c r="G853" s="120"/>
      <c r="H853" s="194"/>
      <c r="I853" s="194"/>
      <c r="J853" s="120"/>
      <c r="K853" s="120"/>
      <c r="L853" s="10"/>
      <c r="Z853" s="122"/>
    </row>
    <row r="854">
      <c r="A854" s="10"/>
      <c r="B854" s="10"/>
      <c r="C854" s="10"/>
      <c r="D854" s="10"/>
      <c r="E854" s="10"/>
      <c r="F854" s="10"/>
      <c r="G854" s="120"/>
      <c r="H854" s="194"/>
      <c r="I854" s="194"/>
      <c r="J854" s="120"/>
      <c r="K854" s="120"/>
      <c r="L854" s="10"/>
      <c r="Z854" s="122"/>
    </row>
    <row r="855">
      <c r="A855" s="10"/>
      <c r="B855" s="10"/>
      <c r="C855" s="10"/>
      <c r="D855" s="10"/>
      <c r="E855" s="10"/>
      <c r="F855" s="10"/>
      <c r="G855" s="120"/>
      <c r="H855" s="194"/>
      <c r="I855" s="194"/>
      <c r="J855" s="120"/>
      <c r="K855" s="120"/>
      <c r="L855" s="10"/>
      <c r="Z855" s="122"/>
    </row>
    <row r="856">
      <c r="A856" s="10"/>
      <c r="B856" s="10"/>
      <c r="C856" s="10"/>
      <c r="D856" s="10"/>
      <c r="E856" s="10"/>
      <c r="F856" s="10"/>
      <c r="G856" s="120"/>
      <c r="H856" s="194"/>
      <c r="I856" s="194"/>
      <c r="J856" s="120"/>
      <c r="K856" s="120"/>
      <c r="L856" s="10"/>
      <c r="Z856" s="122"/>
    </row>
    <row r="857">
      <c r="A857" s="10"/>
      <c r="B857" s="10"/>
      <c r="C857" s="10"/>
      <c r="D857" s="10"/>
      <c r="E857" s="10"/>
      <c r="F857" s="10"/>
      <c r="G857" s="120"/>
      <c r="H857" s="194"/>
      <c r="I857" s="194"/>
      <c r="J857" s="120"/>
      <c r="K857" s="120"/>
      <c r="L857" s="10"/>
      <c r="Z857" s="122"/>
    </row>
    <row r="858">
      <c r="A858" s="10"/>
      <c r="B858" s="10"/>
      <c r="C858" s="10"/>
      <c r="D858" s="10"/>
      <c r="E858" s="10"/>
      <c r="F858" s="10"/>
      <c r="G858" s="120"/>
      <c r="H858" s="194"/>
      <c r="I858" s="194"/>
      <c r="J858" s="120"/>
      <c r="K858" s="120"/>
      <c r="L858" s="10"/>
      <c r="Z858" s="122"/>
    </row>
    <row r="859">
      <c r="A859" s="10"/>
      <c r="B859" s="10"/>
      <c r="C859" s="10"/>
      <c r="D859" s="10"/>
      <c r="E859" s="10"/>
      <c r="F859" s="10"/>
      <c r="G859" s="120"/>
      <c r="H859" s="194"/>
      <c r="I859" s="194"/>
      <c r="J859" s="120"/>
      <c r="K859" s="120"/>
      <c r="L859" s="10"/>
      <c r="Z859" s="122"/>
    </row>
    <row r="860">
      <c r="A860" s="10"/>
      <c r="B860" s="10"/>
      <c r="C860" s="10"/>
      <c r="D860" s="10"/>
      <c r="E860" s="10"/>
      <c r="F860" s="10"/>
      <c r="G860" s="120"/>
      <c r="H860" s="194"/>
      <c r="I860" s="194"/>
      <c r="J860" s="120"/>
      <c r="K860" s="120"/>
      <c r="L860" s="10"/>
      <c r="Z860" s="122"/>
    </row>
    <row r="861">
      <c r="A861" s="10"/>
      <c r="B861" s="10"/>
      <c r="C861" s="10"/>
      <c r="D861" s="10"/>
      <c r="E861" s="10"/>
      <c r="F861" s="10"/>
      <c r="G861" s="120"/>
      <c r="H861" s="194"/>
      <c r="I861" s="194"/>
      <c r="J861" s="120"/>
      <c r="K861" s="120"/>
      <c r="L861" s="10"/>
      <c r="Z861" s="122"/>
    </row>
    <row r="862">
      <c r="A862" s="10"/>
      <c r="B862" s="10"/>
      <c r="C862" s="10"/>
      <c r="D862" s="10"/>
      <c r="E862" s="10"/>
      <c r="F862" s="10"/>
      <c r="G862" s="120"/>
      <c r="H862" s="194"/>
      <c r="I862" s="194"/>
      <c r="J862" s="120"/>
      <c r="K862" s="120"/>
      <c r="L862" s="10"/>
      <c r="Z862" s="122"/>
    </row>
    <row r="863">
      <c r="A863" s="10"/>
      <c r="B863" s="10"/>
      <c r="C863" s="10"/>
      <c r="D863" s="10"/>
      <c r="E863" s="10"/>
      <c r="F863" s="10"/>
      <c r="G863" s="120"/>
      <c r="H863" s="194"/>
      <c r="I863" s="194"/>
      <c r="J863" s="120"/>
      <c r="K863" s="120"/>
      <c r="L863" s="10"/>
      <c r="Z863" s="122"/>
    </row>
    <row r="864">
      <c r="A864" s="10"/>
      <c r="B864" s="10"/>
      <c r="C864" s="10"/>
      <c r="D864" s="10"/>
      <c r="E864" s="10"/>
      <c r="F864" s="10"/>
      <c r="G864" s="120"/>
      <c r="H864" s="194"/>
      <c r="I864" s="194"/>
      <c r="J864" s="120"/>
      <c r="K864" s="120"/>
      <c r="L864" s="10"/>
      <c r="Z864" s="122"/>
    </row>
    <row r="865">
      <c r="A865" s="10"/>
      <c r="B865" s="10"/>
      <c r="C865" s="10"/>
      <c r="D865" s="10"/>
      <c r="E865" s="10"/>
      <c r="F865" s="10"/>
      <c r="G865" s="120"/>
      <c r="H865" s="194"/>
      <c r="I865" s="194"/>
      <c r="J865" s="120"/>
      <c r="K865" s="120"/>
      <c r="L865" s="10"/>
      <c r="Z865" s="122"/>
    </row>
    <row r="866">
      <c r="A866" s="10"/>
      <c r="B866" s="10"/>
      <c r="C866" s="10"/>
      <c r="D866" s="10"/>
      <c r="E866" s="10"/>
      <c r="F866" s="10"/>
      <c r="G866" s="120"/>
      <c r="H866" s="194"/>
      <c r="I866" s="194"/>
      <c r="J866" s="120"/>
      <c r="K866" s="120"/>
      <c r="L866" s="10"/>
      <c r="Z866" s="122"/>
    </row>
    <row r="867">
      <c r="A867" s="10"/>
      <c r="B867" s="10"/>
      <c r="C867" s="10"/>
      <c r="D867" s="10"/>
      <c r="E867" s="10"/>
      <c r="F867" s="10"/>
      <c r="G867" s="120"/>
      <c r="H867" s="194"/>
      <c r="I867" s="194"/>
      <c r="J867" s="120"/>
      <c r="K867" s="120"/>
      <c r="L867" s="10"/>
      <c r="Z867" s="122"/>
    </row>
    <row r="868">
      <c r="A868" s="10"/>
      <c r="B868" s="10"/>
      <c r="C868" s="10"/>
      <c r="D868" s="10"/>
      <c r="E868" s="10"/>
      <c r="F868" s="10"/>
      <c r="G868" s="120"/>
      <c r="H868" s="194"/>
      <c r="I868" s="194"/>
      <c r="J868" s="120"/>
      <c r="K868" s="120"/>
      <c r="L868" s="10"/>
      <c r="Z868" s="122"/>
    </row>
    <row r="869">
      <c r="A869" s="10"/>
      <c r="B869" s="10"/>
      <c r="C869" s="10"/>
      <c r="D869" s="10"/>
      <c r="E869" s="10"/>
      <c r="F869" s="10"/>
      <c r="G869" s="120"/>
      <c r="H869" s="194"/>
      <c r="I869" s="194"/>
      <c r="J869" s="120"/>
      <c r="K869" s="120"/>
      <c r="L869" s="10"/>
      <c r="Z869" s="122"/>
    </row>
    <row r="870">
      <c r="A870" s="10"/>
      <c r="B870" s="10"/>
      <c r="C870" s="10"/>
      <c r="D870" s="10"/>
      <c r="E870" s="10"/>
      <c r="F870" s="10"/>
      <c r="G870" s="120"/>
      <c r="H870" s="194"/>
      <c r="I870" s="194"/>
      <c r="J870" s="120"/>
      <c r="K870" s="120"/>
      <c r="L870" s="10"/>
      <c r="Z870" s="122"/>
    </row>
    <row r="871">
      <c r="A871" s="10"/>
      <c r="B871" s="10"/>
      <c r="C871" s="10"/>
      <c r="D871" s="10"/>
      <c r="E871" s="10"/>
      <c r="F871" s="10"/>
      <c r="G871" s="120"/>
      <c r="H871" s="194"/>
      <c r="I871" s="194"/>
      <c r="J871" s="120"/>
      <c r="K871" s="120"/>
      <c r="L871" s="10"/>
      <c r="Z871" s="122"/>
    </row>
    <row r="872">
      <c r="A872" s="10"/>
      <c r="B872" s="10"/>
      <c r="C872" s="10"/>
      <c r="D872" s="10"/>
      <c r="E872" s="10"/>
      <c r="F872" s="10"/>
      <c r="G872" s="120"/>
      <c r="H872" s="194"/>
      <c r="I872" s="194"/>
      <c r="J872" s="120"/>
      <c r="K872" s="120"/>
      <c r="L872" s="10"/>
      <c r="Z872" s="122"/>
    </row>
    <row r="873">
      <c r="A873" s="10"/>
      <c r="B873" s="10"/>
      <c r="C873" s="10"/>
      <c r="D873" s="10"/>
      <c r="E873" s="10"/>
      <c r="F873" s="10"/>
      <c r="G873" s="120"/>
      <c r="H873" s="194"/>
      <c r="I873" s="194"/>
      <c r="J873" s="120"/>
      <c r="K873" s="120"/>
      <c r="L873" s="10"/>
      <c r="Z873" s="122"/>
    </row>
    <row r="874">
      <c r="A874" s="10"/>
      <c r="B874" s="10"/>
      <c r="C874" s="10"/>
      <c r="D874" s="10"/>
      <c r="E874" s="10"/>
      <c r="F874" s="10"/>
      <c r="G874" s="120"/>
      <c r="H874" s="194"/>
      <c r="I874" s="194"/>
      <c r="J874" s="120"/>
      <c r="K874" s="120"/>
      <c r="L874" s="10"/>
      <c r="Z874" s="122"/>
    </row>
    <row r="875">
      <c r="A875" s="10"/>
      <c r="B875" s="10"/>
      <c r="C875" s="10"/>
      <c r="D875" s="10"/>
      <c r="E875" s="10"/>
      <c r="F875" s="10"/>
      <c r="G875" s="120"/>
      <c r="H875" s="194"/>
      <c r="I875" s="194"/>
      <c r="J875" s="120"/>
      <c r="K875" s="120"/>
      <c r="L875" s="10"/>
      <c r="Z875" s="122"/>
    </row>
    <row r="876">
      <c r="A876" s="10"/>
      <c r="B876" s="10"/>
      <c r="C876" s="10"/>
      <c r="D876" s="10"/>
      <c r="E876" s="10"/>
      <c r="F876" s="10"/>
      <c r="G876" s="120"/>
      <c r="H876" s="194"/>
      <c r="I876" s="194"/>
      <c r="J876" s="120"/>
      <c r="K876" s="120"/>
      <c r="L876" s="10"/>
      <c r="Z876" s="122"/>
    </row>
    <row r="877">
      <c r="A877" s="10"/>
      <c r="B877" s="10"/>
      <c r="C877" s="10"/>
      <c r="D877" s="10"/>
      <c r="E877" s="10"/>
      <c r="F877" s="10"/>
      <c r="G877" s="120"/>
      <c r="H877" s="194"/>
      <c r="I877" s="194"/>
      <c r="J877" s="120"/>
      <c r="K877" s="120"/>
      <c r="L877" s="10"/>
      <c r="Z877" s="122"/>
    </row>
    <row r="878">
      <c r="A878" s="10"/>
      <c r="B878" s="10"/>
      <c r="C878" s="10"/>
      <c r="D878" s="10"/>
      <c r="E878" s="10"/>
      <c r="F878" s="10"/>
      <c r="G878" s="120"/>
      <c r="H878" s="194"/>
      <c r="I878" s="194"/>
      <c r="J878" s="120"/>
      <c r="K878" s="120"/>
      <c r="L878" s="10"/>
      <c r="Z878" s="122"/>
    </row>
    <row r="879">
      <c r="A879" s="10"/>
      <c r="B879" s="10"/>
      <c r="C879" s="10"/>
      <c r="D879" s="10"/>
      <c r="E879" s="10"/>
      <c r="F879" s="10"/>
      <c r="G879" s="120"/>
      <c r="H879" s="194"/>
      <c r="I879" s="194"/>
      <c r="J879" s="120"/>
      <c r="K879" s="120"/>
      <c r="L879" s="10"/>
      <c r="Z879" s="122"/>
    </row>
    <row r="880">
      <c r="A880" s="10"/>
      <c r="B880" s="10"/>
      <c r="C880" s="10"/>
      <c r="D880" s="10"/>
      <c r="E880" s="10"/>
      <c r="F880" s="10"/>
      <c r="G880" s="120"/>
      <c r="H880" s="194"/>
      <c r="I880" s="194"/>
      <c r="J880" s="120"/>
      <c r="K880" s="120"/>
      <c r="L880" s="10"/>
      <c r="Z880" s="122"/>
    </row>
    <row r="881">
      <c r="A881" s="10"/>
      <c r="B881" s="10"/>
      <c r="C881" s="10"/>
      <c r="D881" s="10"/>
      <c r="E881" s="10"/>
      <c r="F881" s="10"/>
      <c r="G881" s="120"/>
      <c r="H881" s="194"/>
      <c r="I881" s="194"/>
      <c r="J881" s="120"/>
      <c r="K881" s="120"/>
      <c r="L881" s="10"/>
      <c r="Z881" s="122"/>
    </row>
    <row r="882">
      <c r="A882" s="10"/>
      <c r="B882" s="10"/>
      <c r="C882" s="10"/>
      <c r="D882" s="10"/>
      <c r="E882" s="10"/>
      <c r="F882" s="10"/>
      <c r="G882" s="120"/>
      <c r="H882" s="194"/>
      <c r="I882" s="194"/>
      <c r="J882" s="120"/>
      <c r="K882" s="120"/>
      <c r="L882" s="10"/>
      <c r="Z882" s="122"/>
    </row>
    <row r="883">
      <c r="A883" s="10"/>
      <c r="B883" s="10"/>
      <c r="C883" s="10"/>
      <c r="D883" s="10"/>
      <c r="E883" s="10"/>
      <c r="F883" s="10"/>
      <c r="G883" s="120"/>
      <c r="H883" s="194"/>
      <c r="I883" s="194"/>
      <c r="J883" s="120"/>
      <c r="K883" s="120"/>
      <c r="L883" s="10"/>
      <c r="Z883" s="122"/>
    </row>
    <row r="884">
      <c r="A884" s="10"/>
      <c r="B884" s="10"/>
      <c r="C884" s="10"/>
      <c r="D884" s="10"/>
      <c r="E884" s="10"/>
      <c r="F884" s="10"/>
      <c r="G884" s="120"/>
      <c r="H884" s="194"/>
      <c r="I884" s="194"/>
      <c r="J884" s="120"/>
      <c r="K884" s="120"/>
      <c r="L884" s="10"/>
      <c r="Z884" s="122"/>
    </row>
    <row r="885">
      <c r="A885" s="10"/>
      <c r="B885" s="10"/>
      <c r="C885" s="10"/>
      <c r="D885" s="10"/>
      <c r="E885" s="10"/>
      <c r="F885" s="10"/>
      <c r="G885" s="120"/>
      <c r="H885" s="194"/>
      <c r="I885" s="194"/>
      <c r="J885" s="120"/>
      <c r="K885" s="120"/>
      <c r="L885" s="10"/>
      <c r="Z885" s="122"/>
    </row>
    <row r="886">
      <c r="A886" s="10"/>
      <c r="B886" s="10"/>
      <c r="C886" s="10"/>
      <c r="D886" s="10"/>
      <c r="E886" s="10"/>
      <c r="F886" s="10"/>
      <c r="G886" s="120"/>
      <c r="H886" s="194"/>
      <c r="I886" s="194"/>
      <c r="J886" s="120"/>
      <c r="K886" s="120"/>
      <c r="L886" s="10"/>
      <c r="Z886" s="122"/>
    </row>
    <row r="887">
      <c r="A887" s="10"/>
      <c r="B887" s="10"/>
      <c r="C887" s="10"/>
      <c r="D887" s="10"/>
      <c r="E887" s="10"/>
      <c r="F887" s="10"/>
      <c r="G887" s="120"/>
      <c r="H887" s="194"/>
      <c r="I887" s="194"/>
      <c r="J887" s="120"/>
      <c r="K887" s="120"/>
      <c r="L887" s="10"/>
      <c r="Z887" s="122"/>
    </row>
    <row r="888">
      <c r="A888" s="10"/>
      <c r="B888" s="10"/>
      <c r="C888" s="10"/>
      <c r="D888" s="10"/>
      <c r="E888" s="10"/>
      <c r="F888" s="10"/>
      <c r="G888" s="120"/>
      <c r="H888" s="194"/>
      <c r="I888" s="194"/>
      <c r="J888" s="120"/>
      <c r="K888" s="120"/>
      <c r="L888" s="10"/>
      <c r="Z888" s="122"/>
    </row>
    <row r="889">
      <c r="A889" s="10"/>
      <c r="B889" s="10"/>
      <c r="C889" s="10"/>
      <c r="D889" s="10"/>
      <c r="E889" s="10"/>
      <c r="F889" s="10"/>
      <c r="G889" s="120"/>
      <c r="H889" s="194"/>
      <c r="I889" s="194"/>
      <c r="J889" s="120"/>
      <c r="K889" s="120"/>
      <c r="L889" s="10"/>
      <c r="Z889" s="122"/>
    </row>
    <row r="890">
      <c r="A890" s="10"/>
      <c r="B890" s="10"/>
      <c r="C890" s="10"/>
      <c r="D890" s="10"/>
      <c r="E890" s="10"/>
      <c r="F890" s="10"/>
      <c r="G890" s="120"/>
      <c r="H890" s="194"/>
      <c r="I890" s="194"/>
      <c r="J890" s="120"/>
      <c r="K890" s="120"/>
      <c r="L890" s="10"/>
      <c r="Z890" s="122"/>
    </row>
    <row r="891">
      <c r="A891" s="10"/>
      <c r="B891" s="10"/>
      <c r="C891" s="10"/>
      <c r="D891" s="10"/>
      <c r="E891" s="10"/>
      <c r="F891" s="10"/>
      <c r="G891" s="120"/>
      <c r="H891" s="194"/>
      <c r="I891" s="194"/>
      <c r="J891" s="120"/>
      <c r="K891" s="120"/>
      <c r="L891" s="10"/>
      <c r="Z891" s="122"/>
    </row>
    <row r="892">
      <c r="A892" s="10"/>
      <c r="B892" s="10"/>
      <c r="C892" s="10"/>
      <c r="D892" s="10"/>
      <c r="E892" s="10"/>
      <c r="F892" s="10"/>
      <c r="G892" s="120"/>
      <c r="H892" s="194"/>
      <c r="I892" s="194"/>
      <c r="J892" s="120"/>
      <c r="K892" s="120"/>
      <c r="L892" s="10"/>
      <c r="Z892" s="122"/>
    </row>
    <row r="893">
      <c r="A893" s="10"/>
      <c r="B893" s="10"/>
      <c r="C893" s="10"/>
      <c r="D893" s="10"/>
      <c r="E893" s="10"/>
      <c r="F893" s="10"/>
      <c r="G893" s="120"/>
      <c r="H893" s="194"/>
      <c r="I893" s="194"/>
      <c r="J893" s="120"/>
      <c r="K893" s="120"/>
      <c r="L893" s="10"/>
      <c r="Z893" s="122"/>
    </row>
    <row r="894">
      <c r="A894" s="10"/>
      <c r="B894" s="10"/>
      <c r="C894" s="10"/>
      <c r="D894" s="10"/>
      <c r="E894" s="10"/>
      <c r="F894" s="10"/>
      <c r="G894" s="120"/>
      <c r="H894" s="194"/>
      <c r="I894" s="194"/>
      <c r="J894" s="120"/>
      <c r="K894" s="120"/>
      <c r="L894" s="10"/>
      <c r="Z894" s="122"/>
    </row>
    <row r="895">
      <c r="A895" s="10"/>
      <c r="B895" s="10"/>
      <c r="C895" s="10"/>
      <c r="D895" s="10"/>
      <c r="E895" s="10"/>
      <c r="F895" s="10"/>
      <c r="G895" s="120"/>
      <c r="H895" s="194"/>
      <c r="I895" s="194"/>
      <c r="J895" s="120"/>
      <c r="K895" s="120"/>
      <c r="L895" s="10"/>
      <c r="Z895" s="122"/>
    </row>
    <row r="896">
      <c r="A896" s="10"/>
      <c r="B896" s="10"/>
      <c r="C896" s="10"/>
      <c r="D896" s="10"/>
      <c r="E896" s="10"/>
      <c r="F896" s="10"/>
      <c r="G896" s="120"/>
      <c r="H896" s="194"/>
      <c r="I896" s="194"/>
      <c r="J896" s="120"/>
      <c r="K896" s="120"/>
      <c r="L896" s="10"/>
      <c r="Z896" s="122"/>
    </row>
    <row r="897">
      <c r="A897" s="10"/>
      <c r="B897" s="10"/>
      <c r="C897" s="10"/>
      <c r="D897" s="10"/>
      <c r="E897" s="10"/>
      <c r="F897" s="10"/>
      <c r="G897" s="120"/>
      <c r="H897" s="194"/>
      <c r="I897" s="194"/>
      <c r="J897" s="120"/>
      <c r="K897" s="120"/>
      <c r="L897" s="10"/>
      <c r="Z897" s="122"/>
    </row>
    <row r="898">
      <c r="A898" s="10"/>
      <c r="B898" s="10"/>
      <c r="C898" s="10"/>
      <c r="D898" s="10"/>
      <c r="E898" s="10"/>
      <c r="F898" s="10"/>
      <c r="G898" s="120"/>
      <c r="H898" s="194"/>
      <c r="I898" s="194"/>
      <c r="J898" s="120"/>
      <c r="K898" s="120"/>
      <c r="L898" s="10"/>
      <c r="Z898" s="122"/>
    </row>
    <row r="899">
      <c r="A899" s="10"/>
      <c r="B899" s="10"/>
      <c r="C899" s="10"/>
      <c r="D899" s="10"/>
      <c r="E899" s="10"/>
      <c r="F899" s="10"/>
      <c r="G899" s="120"/>
      <c r="H899" s="194"/>
      <c r="I899" s="194"/>
      <c r="J899" s="120"/>
      <c r="K899" s="120"/>
      <c r="L899" s="10"/>
      <c r="Z899" s="122"/>
    </row>
    <row r="900">
      <c r="A900" s="10"/>
      <c r="B900" s="10"/>
      <c r="C900" s="10"/>
      <c r="D900" s="10"/>
      <c r="E900" s="10"/>
      <c r="F900" s="10"/>
      <c r="G900" s="120"/>
      <c r="H900" s="194"/>
      <c r="I900" s="194"/>
      <c r="J900" s="120"/>
      <c r="K900" s="120"/>
      <c r="L900" s="10"/>
      <c r="Z900" s="122"/>
    </row>
    <row r="901">
      <c r="A901" s="10"/>
      <c r="B901" s="10"/>
      <c r="C901" s="10"/>
      <c r="D901" s="10"/>
      <c r="E901" s="10"/>
      <c r="F901" s="10"/>
      <c r="G901" s="120"/>
      <c r="H901" s="194"/>
      <c r="I901" s="194"/>
      <c r="J901" s="120"/>
      <c r="K901" s="120"/>
      <c r="L901" s="10"/>
      <c r="Z901" s="122"/>
    </row>
    <row r="902">
      <c r="A902" s="10"/>
      <c r="B902" s="10"/>
      <c r="C902" s="10"/>
      <c r="D902" s="10"/>
      <c r="E902" s="10"/>
      <c r="F902" s="10"/>
      <c r="G902" s="120"/>
      <c r="H902" s="194"/>
      <c r="I902" s="194"/>
      <c r="J902" s="120"/>
      <c r="K902" s="120"/>
      <c r="L902" s="10"/>
      <c r="Z902" s="122"/>
    </row>
    <row r="903">
      <c r="A903" s="10"/>
      <c r="B903" s="10"/>
      <c r="C903" s="10"/>
      <c r="D903" s="10"/>
      <c r="E903" s="10"/>
      <c r="F903" s="10"/>
      <c r="G903" s="120"/>
      <c r="H903" s="194"/>
      <c r="I903" s="194"/>
      <c r="J903" s="120"/>
      <c r="K903" s="120"/>
      <c r="L903" s="10"/>
      <c r="Z903" s="122"/>
    </row>
    <row r="904">
      <c r="A904" s="10"/>
      <c r="B904" s="10"/>
      <c r="C904" s="10"/>
      <c r="D904" s="10"/>
      <c r="E904" s="10"/>
      <c r="F904" s="10"/>
      <c r="G904" s="120"/>
      <c r="H904" s="194"/>
      <c r="I904" s="194"/>
      <c r="J904" s="120"/>
      <c r="K904" s="120"/>
      <c r="L904" s="10"/>
      <c r="Z904" s="122"/>
    </row>
    <row r="905">
      <c r="A905" s="10"/>
      <c r="B905" s="10"/>
      <c r="C905" s="10"/>
      <c r="D905" s="10"/>
      <c r="E905" s="10"/>
      <c r="F905" s="10"/>
      <c r="G905" s="120"/>
      <c r="H905" s="194"/>
      <c r="I905" s="194"/>
      <c r="J905" s="120"/>
      <c r="K905" s="120"/>
      <c r="L905" s="10"/>
      <c r="Z905" s="122"/>
    </row>
    <row r="906">
      <c r="A906" s="10"/>
      <c r="B906" s="10"/>
      <c r="C906" s="10"/>
      <c r="D906" s="10"/>
      <c r="E906" s="10"/>
      <c r="F906" s="10"/>
      <c r="G906" s="120"/>
      <c r="H906" s="194"/>
      <c r="I906" s="194"/>
      <c r="J906" s="120"/>
      <c r="K906" s="120"/>
      <c r="L906" s="10"/>
      <c r="Z906" s="122"/>
    </row>
    <row r="907">
      <c r="A907" s="10"/>
      <c r="B907" s="10"/>
      <c r="C907" s="10"/>
      <c r="D907" s="10"/>
      <c r="E907" s="10"/>
      <c r="F907" s="10"/>
      <c r="G907" s="120"/>
      <c r="H907" s="194"/>
      <c r="I907" s="194"/>
      <c r="J907" s="120"/>
      <c r="K907" s="120"/>
      <c r="L907" s="10"/>
      <c r="Z907" s="122"/>
    </row>
    <row r="908">
      <c r="A908" s="10"/>
      <c r="B908" s="10"/>
      <c r="C908" s="10"/>
      <c r="D908" s="10"/>
      <c r="E908" s="10"/>
      <c r="F908" s="10"/>
      <c r="G908" s="120"/>
      <c r="H908" s="194"/>
      <c r="I908" s="194"/>
      <c r="J908" s="120"/>
      <c r="K908" s="120"/>
      <c r="L908" s="10"/>
      <c r="Z908" s="122"/>
    </row>
    <row r="909">
      <c r="A909" s="10"/>
      <c r="B909" s="10"/>
      <c r="C909" s="10"/>
      <c r="D909" s="10"/>
      <c r="E909" s="10"/>
      <c r="F909" s="10"/>
      <c r="G909" s="120"/>
      <c r="H909" s="194"/>
      <c r="I909" s="194"/>
      <c r="J909" s="120"/>
      <c r="K909" s="120"/>
      <c r="L909" s="10"/>
      <c r="Z909" s="122"/>
    </row>
    <row r="910">
      <c r="A910" s="10"/>
      <c r="B910" s="10"/>
      <c r="C910" s="10"/>
      <c r="D910" s="10"/>
      <c r="E910" s="10"/>
      <c r="F910" s="10"/>
      <c r="G910" s="120"/>
      <c r="H910" s="194"/>
      <c r="I910" s="194"/>
      <c r="J910" s="120"/>
      <c r="K910" s="120"/>
      <c r="L910" s="10"/>
      <c r="Z910" s="122"/>
    </row>
    <row r="911">
      <c r="A911" s="10"/>
      <c r="B911" s="10"/>
      <c r="C911" s="10"/>
      <c r="D911" s="10"/>
      <c r="E911" s="10"/>
      <c r="F911" s="10"/>
      <c r="G911" s="120"/>
      <c r="H911" s="194"/>
      <c r="I911" s="194"/>
      <c r="J911" s="120"/>
      <c r="K911" s="120"/>
      <c r="L911" s="10"/>
      <c r="Z911" s="122"/>
    </row>
    <row r="912">
      <c r="A912" s="10"/>
      <c r="B912" s="10"/>
      <c r="C912" s="10"/>
      <c r="D912" s="10"/>
      <c r="E912" s="10"/>
      <c r="F912" s="10"/>
      <c r="G912" s="120"/>
      <c r="H912" s="194"/>
      <c r="I912" s="194"/>
      <c r="J912" s="120"/>
      <c r="K912" s="120"/>
      <c r="L912" s="10"/>
      <c r="Z912" s="122"/>
    </row>
    <row r="913">
      <c r="A913" s="10"/>
      <c r="B913" s="10"/>
      <c r="C913" s="10"/>
      <c r="D913" s="10"/>
      <c r="E913" s="10"/>
      <c r="F913" s="10"/>
      <c r="G913" s="120"/>
      <c r="H913" s="194"/>
      <c r="I913" s="194"/>
      <c r="J913" s="120"/>
      <c r="K913" s="120"/>
      <c r="L913" s="10"/>
      <c r="Z913" s="122"/>
    </row>
    <row r="914">
      <c r="A914" s="10"/>
      <c r="B914" s="10"/>
      <c r="C914" s="10"/>
      <c r="D914" s="10"/>
      <c r="E914" s="10"/>
      <c r="F914" s="10"/>
      <c r="G914" s="120"/>
      <c r="H914" s="194"/>
      <c r="I914" s="194"/>
      <c r="J914" s="120"/>
      <c r="K914" s="120"/>
      <c r="L914" s="10"/>
      <c r="Z914" s="122"/>
    </row>
    <row r="915">
      <c r="A915" s="10"/>
      <c r="B915" s="10"/>
      <c r="C915" s="10"/>
      <c r="D915" s="10"/>
      <c r="E915" s="10"/>
      <c r="F915" s="10"/>
      <c r="G915" s="120"/>
      <c r="H915" s="194"/>
      <c r="I915" s="194"/>
      <c r="J915" s="120"/>
      <c r="K915" s="120"/>
      <c r="L915" s="10"/>
      <c r="Z915" s="122"/>
    </row>
    <row r="916">
      <c r="A916" s="10"/>
      <c r="B916" s="10"/>
      <c r="C916" s="10"/>
      <c r="D916" s="10"/>
      <c r="E916" s="10"/>
      <c r="F916" s="10"/>
      <c r="G916" s="120"/>
      <c r="H916" s="194"/>
      <c r="I916" s="194"/>
      <c r="J916" s="120"/>
      <c r="K916" s="120"/>
      <c r="L916" s="10"/>
      <c r="Z916" s="122"/>
    </row>
    <row r="917">
      <c r="A917" s="10"/>
      <c r="B917" s="10"/>
      <c r="C917" s="10"/>
      <c r="D917" s="10"/>
      <c r="E917" s="10"/>
      <c r="F917" s="10"/>
      <c r="G917" s="120"/>
      <c r="H917" s="194"/>
      <c r="I917" s="194"/>
      <c r="J917" s="120"/>
      <c r="K917" s="120"/>
      <c r="L917" s="10"/>
      <c r="Z917" s="122"/>
    </row>
    <row r="918">
      <c r="A918" s="10"/>
      <c r="B918" s="10"/>
      <c r="C918" s="10"/>
      <c r="D918" s="10"/>
      <c r="E918" s="10"/>
      <c r="F918" s="10"/>
      <c r="G918" s="120"/>
      <c r="H918" s="194"/>
      <c r="I918" s="194"/>
      <c r="J918" s="120"/>
      <c r="K918" s="120"/>
      <c r="L918" s="10"/>
      <c r="Z918" s="122"/>
    </row>
    <row r="919">
      <c r="A919" s="10"/>
      <c r="B919" s="10"/>
      <c r="C919" s="10"/>
      <c r="D919" s="10"/>
      <c r="E919" s="10"/>
      <c r="F919" s="10"/>
      <c r="G919" s="120"/>
      <c r="H919" s="194"/>
      <c r="I919" s="194"/>
      <c r="J919" s="120"/>
      <c r="K919" s="120"/>
      <c r="L919" s="10"/>
      <c r="Z919" s="122"/>
    </row>
    <row r="920">
      <c r="A920" s="10"/>
      <c r="B920" s="10"/>
      <c r="C920" s="10"/>
      <c r="D920" s="10"/>
      <c r="E920" s="10"/>
      <c r="F920" s="10"/>
      <c r="G920" s="120"/>
      <c r="H920" s="194"/>
      <c r="I920" s="194"/>
      <c r="J920" s="120"/>
      <c r="K920" s="120"/>
      <c r="L920" s="10"/>
      <c r="Z920" s="122"/>
    </row>
    <row r="921">
      <c r="A921" s="10"/>
      <c r="B921" s="10"/>
      <c r="C921" s="10"/>
      <c r="D921" s="10"/>
      <c r="E921" s="10"/>
      <c r="F921" s="10"/>
      <c r="G921" s="120"/>
      <c r="H921" s="194"/>
      <c r="I921" s="194"/>
      <c r="J921" s="120"/>
      <c r="K921" s="120"/>
      <c r="L921" s="10"/>
      <c r="Z921" s="122"/>
    </row>
    <row r="922">
      <c r="A922" s="10"/>
      <c r="B922" s="10"/>
      <c r="C922" s="10"/>
      <c r="D922" s="10"/>
      <c r="E922" s="10"/>
      <c r="F922" s="10"/>
      <c r="G922" s="120"/>
      <c r="H922" s="194"/>
      <c r="I922" s="194"/>
      <c r="J922" s="120"/>
      <c r="K922" s="120"/>
      <c r="L922" s="10"/>
      <c r="Z922" s="122"/>
    </row>
    <row r="923">
      <c r="A923" s="10"/>
      <c r="B923" s="10"/>
      <c r="C923" s="10"/>
      <c r="D923" s="10"/>
      <c r="E923" s="10"/>
      <c r="F923" s="10"/>
      <c r="G923" s="120"/>
      <c r="H923" s="194"/>
      <c r="I923" s="194"/>
      <c r="J923" s="120"/>
      <c r="K923" s="120"/>
      <c r="L923" s="10"/>
      <c r="Z923" s="122"/>
    </row>
    <row r="924">
      <c r="A924" s="10"/>
      <c r="B924" s="10"/>
      <c r="C924" s="10"/>
      <c r="D924" s="10"/>
      <c r="E924" s="10"/>
      <c r="F924" s="10"/>
      <c r="G924" s="120"/>
      <c r="H924" s="194"/>
      <c r="I924" s="194"/>
      <c r="J924" s="120"/>
      <c r="K924" s="120"/>
      <c r="L924" s="10"/>
      <c r="Z924" s="122"/>
    </row>
    <row r="925">
      <c r="A925" s="10"/>
      <c r="B925" s="10"/>
      <c r="C925" s="10"/>
      <c r="D925" s="10"/>
      <c r="E925" s="10"/>
      <c r="F925" s="10"/>
      <c r="G925" s="120"/>
      <c r="H925" s="194"/>
      <c r="I925" s="194"/>
      <c r="J925" s="120"/>
      <c r="K925" s="120"/>
      <c r="L925" s="10"/>
      <c r="Z925" s="122"/>
    </row>
    <row r="926">
      <c r="A926" s="10"/>
      <c r="B926" s="10"/>
      <c r="C926" s="10"/>
      <c r="D926" s="10"/>
      <c r="E926" s="10"/>
      <c r="F926" s="10"/>
      <c r="G926" s="120"/>
      <c r="H926" s="194"/>
      <c r="I926" s="194"/>
      <c r="J926" s="120"/>
      <c r="K926" s="120"/>
      <c r="L926" s="10"/>
      <c r="Z926" s="122"/>
    </row>
    <row r="927">
      <c r="A927" s="10"/>
      <c r="B927" s="10"/>
      <c r="C927" s="10"/>
      <c r="D927" s="10"/>
      <c r="E927" s="10"/>
      <c r="F927" s="10"/>
      <c r="G927" s="120"/>
      <c r="H927" s="194"/>
      <c r="I927" s="194"/>
      <c r="J927" s="120"/>
      <c r="K927" s="120"/>
      <c r="L927" s="10"/>
      <c r="Z927" s="122"/>
    </row>
    <row r="928">
      <c r="A928" s="10"/>
      <c r="B928" s="10"/>
      <c r="C928" s="10"/>
      <c r="D928" s="10"/>
      <c r="E928" s="10"/>
      <c r="F928" s="10"/>
      <c r="G928" s="120"/>
      <c r="H928" s="194"/>
      <c r="I928" s="194"/>
      <c r="J928" s="120"/>
      <c r="K928" s="120"/>
      <c r="L928" s="10"/>
      <c r="Z928" s="122"/>
    </row>
    <row r="929">
      <c r="A929" s="10"/>
      <c r="B929" s="10"/>
      <c r="C929" s="10"/>
      <c r="D929" s="10"/>
      <c r="E929" s="10"/>
      <c r="F929" s="10"/>
      <c r="G929" s="120"/>
      <c r="H929" s="194"/>
      <c r="I929" s="194"/>
      <c r="J929" s="120"/>
      <c r="K929" s="120"/>
      <c r="L929" s="10"/>
      <c r="Z929" s="122"/>
    </row>
    <row r="930">
      <c r="A930" s="10"/>
      <c r="B930" s="10"/>
      <c r="C930" s="10"/>
      <c r="D930" s="10"/>
      <c r="E930" s="10"/>
      <c r="F930" s="10"/>
      <c r="G930" s="120"/>
      <c r="H930" s="194"/>
      <c r="I930" s="194"/>
      <c r="J930" s="120"/>
      <c r="K930" s="120"/>
      <c r="L930" s="10"/>
      <c r="Z930" s="122"/>
    </row>
    <row r="931">
      <c r="A931" s="10"/>
      <c r="B931" s="10"/>
      <c r="C931" s="10"/>
      <c r="D931" s="10"/>
      <c r="E931" s="10"/>
      <c r="F931" s="10"/>
      <c r="G931" s="120"/>
      <c r="H931" s="194"/>
      <c r="I931" s="194"/>
      <c r="J931" s="120"/>
      <c r="K931" s="120"/>
      <c r="L931" s="10"/>
      <c r="Z931" s="122"/>
    </row>
    <row r="932">
      <c r="A932" s="10"/>
      <c r="B932" s="10"/>
      <c r="C932" s="10"/>
      <c r="D932" s="10"/>
      <c r="E932" s="10"/>
      <c r="F932" s="10"/>
      <c r="G932" s="120"/>
      <c r="H932" s="194"/>
      <c r="I932" s="194"/>
      <c r="J932" s="120"/>
      <c r="K932" s="120"/>
      <c r="L932" s="10"/>
      <c r="Z932" s="122"/>
    </row>
    <row r="933">
      <c r="A933" s="10"/>
      <c r="B933" s="10"/>
      <c r="C933" s="10"/>
      <c r="D933" s="10"/>
      <c r="E933" s="10"/>
      <c r="F933" s="10"/>
      <c r="G933" s="120"/>
      <c r="H933" s="194"/>
      <c r="I933" s="194"/>
      <c r="J933" s="120"/>
      <c r="K933" s="120"/>
      <c r="L933" s="10"/>
      <c r="Z933" s="122"/>
    </row>
    <row r="934">
      <c r="A934" s="10"/>
      <c r="B934" s="10"/>
      <c r="C934" s="10"/>
      <c r="D934" s="10"/>
      <c r="E934" s="10"/>
      <c r="F934" s="10"/>
      <c r="G934" s="120"/>
      <c r="H934" s="194"/>
      <c r="I934" s="194"/>
      <c r="J934" s="120"/>
      <c r="K934" s="120"/>
      <c r="L934" s="10"/>
      <c r="Z934" s="122"/>
    </row>
    <row r="935">
      <c r="A935" s="10"/>
      <c r="B935" s="10"/>
      <c r="C935" s="10"/>
      <c r="D935" s="10"/>
      <c r="E935" s="10"/>
      <c r="F935" s="10"/>
      <c r="G935" s="120"/>
      <c r="H935" s="194"/>
      <c r="I935" s="194"/>
      <c r="J935" s="120"/>
      <c r="K935" s="120"/>
      <c r="L935" s="10"/>
      <c r="Z935" s="122"/>
    </row>
    <row r="936">
      <c r="A936" s="10"/>
      <c r="B936" s="10"/>
      <c r="C936" s="10"/>
      <c r="D936" s="10"/>
      <c r="E936" s="10"/>
      <c r="F936" s="10"/>
      <c r="G936" s="120"/>
      <c r="H936" s="194"/>
      <c r="I936" s="194"/>
      <c r="J936" s="120"/>
      <c r="K936" s="120"/>
      <c r="L936" s="10"/>
      <c r="Z936" s="122"/>
    </row>
    <row r="937">
      <c r="A937" s="10"/>
      <c r="B937" s="10"/>
      <c r="C937" s="10"/>
      <c r="D937" s="10"/>
      <c r="E937" s="10"/>
      <c r="F937" s="10"/>
      <c r="G937" s="120"/>
      <c r="H937" s="194"/>
      <c r="I937" s="194"/>
      <c r="J937" s="120"/>
      <c r="K937" s="120"/>
      <c r="L937" s="10"/>
      <c r="Z937" s="122"/>
    </row>
    <row r="938">
      <c r="A938" s="10"/>
      <c r="B938" s="10"/>
      <c r="C938" s="10"/>
      <c r="D938" s="10"/>
      <c r="E938" s="10"/>
      <c r="F938" s="10"/>
      <c r="G938" s="120"/>
      <c r="H938" s="194"/>
      <c r="I938" s="194"/>
      <c r="J938" s="120"/>
      <c r="K938" s="120"/>
      <c r="L938" s="10"/>
      <c r="Z938" s="122"/>
    </row>
    <row r="939">
      <c r="A939" s="10"/>
      <c r="B939" s="10"/>
      <c r="C939" s="10"/>
      <c r="D939" s="10"/>
      <c r="E939" s="10"/>
      <c r="F939" s="10"/>
      <c r="G939" s="120"/>
      <c r="H939" s="194"/>
      <c r="I939" s="194"/>
      <c r="J939" s="120"/>
      <c r="K939" s="120"/>
      <c r="L939" s="10"/>
      <c r="Z939" s="122"/>
    </row>
    <row r="940">
      <c r="A940" s="10"/>
      <c r="B940" s="10"/>
      <c r="C940" s="10"/>
      <c r="D940" s="10"/>
      <c r="E940" s="10"/>
      <c r="F940" s="10"/>
      <c r="G940" s="120"/>
      <c r="H940" s="194"/>
      <c r="I940" s="194"/>
      <c r="J940" s="120"/>
      <c r="K940" s="120"/>
      <c r="L940" s="10"/>
      <c r="Z940" s="122"/>
    </row>
    <row r="941">
      <c r="A941" s="10"/>
      <c r="B941" s="10"/>
      <c r="C941" s="10"/>
      <c r="D941" s="10"/>
      <c r="E941" s="10"/>
      <c r="F941" s="10"/>
      <c r="G941" s="120"/>
      <c r="H941" s="194"/>
      <c r="I941" s="194"/>
      <c r="J941" s="120"/>
      <c r="K941" s="120"/>
      <c r="L941" s="10"/>
      <c r="Z941" s="122"/>
    </row>
    <row r="942">
      <c r="A942" s="10"/>
      <c r="B942" s="10"/>
      <c r="C942" s="10"/>
      <c r="D942" s="10"/>
      <c r="E942" s="10"/>
      <c r="F942" s="10"/>
      <c r="G942" s="120"/>
      <c r="H942" s="194"/>
      <c r="I942" s="194"/>
      <c r="J942" s="120"/>
      <c r="K942" s="120"/>
      <c r="L942" s="10"/>
      <c r="Z942" s="122"/>
    </row>
    <row r="943">
      <c r="A943" s="10"/>
      <c r="B943" s="10"/>
      <c r="C943" s="10"/>
      <c r="D943" s="10"/>
      <c r="E943" s="10"/>
      <c r="F943" s="10"/>
      <c r="G943" s="120"/>
      <c r="H943" s="194"/>
      <c r="I943" s="194"/>
      <c r="J943" s="120"/>
      <c r="K943" s="120"/>
      <c r="L943" s="10"/>
      <c r="Z943" s="122"/>
    </row>
    <row r="944">
      <c r="A944" s="10"/>
      <c r="B944" s="10"/>
      <c r="C944" s="10"/>
      <c r="D944" s="10"/>
      <c r="E944" s="10"/>
      <c r="F944" s="10"/>
      <c r="G944" s="120"/>
      <c r="H944" s="194"/>
      <c r="I944" s="194"/>
      <c r="J944" s="120"/>
      <c r="K944" s="120"/>
      <c r="L944" s="10"/>
      <c r="Z944" s="122"/>
    </row>
    <row r="945">
      <c r="A945" s="10"/>
      <c r="B945" s="10"/>
      <c r="C945" s="10"/>
      <c r="D945" s="10"/>
      <c r="E945" s="10"/>
      <c r="F945" s="10"/>
      <c r="G945" s="120"/>
      <c r="H945" s="194"/>
      <c r="I945" s="194"/>
      <c r="J945" s="120"/>
      <c r="K945" s="120"/>
      <c r="L945" s="10"/>
      <c r="Z945" s="122"/>
    </row>
    <row r="946">
      <c r="A946" s="10"/>
      <c r="B946" s="10"/>
      <c r="C946" s="10"/>
      <c r="D946" s="10"/>
      <c r="E946" s="10"/>
      <c r="F946" s="10"/>
      <c r="G946" s="120"/>
      <c r="H946" s="194"/>
      <c r="I946" s="194"/>
      <c r="J946" s="120"/>
      <c r="K946" s="120"/>
      <c r="L946" s="10"/>
      <c r="Z946" s="122"/>
    </row>
    <row r="947">
      <c r="A947" s="10"/>
      <c r="B947" s="10"/>
      <c r="C947" s="10"/>
      <c r="D947" s="10"/>
      <c r="E947" s="10"/>
      <c r="F947" s="10"/>
      <c r="G947" s="120"/>
      <c r="H947" s="194"/>
      <c r="I947" s="194"/>
      <c r="J947" s="120"/>
      <c r="K947" s="120"/>
      <c r="L947" s="10"/>
      <c r="Z947" s="122"/>
    </row>
    <row r="948">
      <c r="A948" s="10"/>
      <c r="B948" s="10"/>
      <c r="C948" s="10"/>
      <c r="D948" s="10"/>
      <c r="E948" s="10"/>
      <c r="F948" s="10"/>
      <c r="G948" s="120"/>
      <c r="H948" s="194"/>
      <c r="I948" s="194"/>
      <c r="J948" s="120"/>
      <c r="K948" s="120"/>
      <c r="L948" s="10"/>
      <c r="Z948" s="122"/>
    </row>
    <row r="949">
      <c r="A949" s="10"/>
      <c r="B949" s="10"/>
      <c r="C949" s="10"/>
      <c r="D949" s="10"/>
      <c r="E949" s="10"/>
      <c r="F949" s="10"/>
      <c r="G949" s="120"/>
      <c r="H949" s="194"/>
      <c r="I949" s="194"/>
      <c r="J949" s="120"/>
      <c r="K949" s="120"/>
      <c r="L949" s="10"/>
      <c r="Z949" s="122"/>
    </row>
    <row r="950">
      <c r="A950" s="10"/>
      <c r="B950" s="10"/>
      <c r="C950" s="10"/>
      <c r="D950" s="10"/>
      <c r="E950" s="10"/>
      <c r="F950" s="10"/>
      <c r="G950" s="120"/>
      <c r="H950" s="194"/>
      <c r="I950" s="194"/>
      <c r="J950" s="120"/>
      <c r="K950" s="120"/>
      <c r="L950" s="10"/>
      <c r="Z950" s="122"/>
    </row>
    <row r="951">
      <c r="A951" s="10"/>
      <c r="B951" s="10"/>
      <c r="C951" s="10"/>
      <c r="D951" s="10"/>
      <c r="E951" s="10"/>
      <c r="F951" s="10"/>
      <c r="G951" s="120"/>
      <c r="H951" s="194"/>
      <c r="I951" s="194"/>
      <c r="J951" s="120"/>
      <c r="K951" s="120"/>
      <c r="L951" s="10"/>
      <c r="Z951" s="122"/>
    </row>
    <row r="952">
      <c r="A952" s="10"/>
      <c r="B952" s="10"/>
      <c r="C952" s="10"/>
      <c r="D952" s="10"/>
      <c r="E952" s="10"/>
      <c r="F952" s="10"/>
      <c r="G952" s="120"/>
      <c r="H952" s="194"/>
      <c r="I952" s="194"/>
      <c r="J952" s="120"/>
      <c r="K952" s="120"/>
      <c r="L952" s="10"/>
      <c r="Z952" s="122"/>
    </row>
    <row r="953">
      <c r="A953" s="10"/>
      <c r="B953" s="10"/>
      <c r="C953" s="10"/>
      <c r="D953" s="10"/>
      <c r="E953" s="10"/>
      <c r="F953" s="10"/>
      <c r="G953" s="120"/>
      <c r="H953" s="194"/>
      <c r="I953" s="194"/>
      <c r="J953" s="120"/>
      <c r="K953" s="120"/>
      <c r="L953" s="10"/>
      <c r="Z953" s="122"/>
    </row>
    <row r="954">
      <c r="A954" s="10"/>
      <c r="B954" s="10"/>
      <c r="C954" s="10"/>
      <c r="D954" s="10"/>
      <c r="E954" s="10"/>
      <c r="F954" s="10"/>
      <c r="G954" s="120"/>
      <c r="H954" s="194"/>
      <c r="I954" s="194"/>
      <c r="J954" s="120"/>
      <c r="K954" s="120"/>
      <c r="L954" s="10"/>
      <c r="Z954" s="122"/>
    </row>
    <row r="955">
      <c r="A955" s="10"/>
      <c r="B955" s="10"/>
      <c r="C955" s="10"/>
      <c r="D955" s="10"/>
      <c r="E955" s="10"/>
      <c r="F955" s="10"/>
      <c r="G955" s="120"/>
      <c r="H955" s="194"/>
      <c r="I955" s="194"/>
      <c r="J955" s="120"/>
      <c r="K955" s="120"/>
      <c r="L955" s="10"/>
      <c r="Z955" s="122"/>
    </row>
    <row r="956">
      <c r="A956" s="10"/>
      <c r="B956" s="10"/>
      <c r="C956" s="10"/>
      <c r="D956" s="10"/>
      <c r="E956" s="10"/>
      <c r="F956" s="10"/>
      <c r="G956" s="120"/>
      <c r="H956" s="194"/>
      <c r="I956" s="194"/>
      <c r="J956" s="120"/>
      <c r="K956" s="120"/>
      <c r="L956" s="10"/>
      <c r="Z956" s="122"/>
    </row>
    <row r="957">
      <c r="A957" s="10"/>
      <c r="B957" s="10"/>
      <c r="C957" s="10"/>
      <c r="D957" s="10"/>
      <c r="E957" s="10"/>
      <c r="F957" s="10"/>
      <c r="G957" s="120"/>
      <c r="H957" s="194"/>
      <c r="I957" s="194"/>
      <c r="J957" s="120"/>
      <c r="K957" s="120"/>
      <c r="L957" s="10"/>
      <c r="Z957" s="122"/>
    </row>
    <row r="958">
      <c r="A958" s="10"/>
      <c r="B958" s="10"/>
      <c r="C958" s="10"/>
      <c r="D958" s="10"/>
      <c r="E958" s="10"/>
      <c r="F958" s="10"/>
      <c r="G958" s="120"/>
      <c r="H958" s="194"/>
      <c r="I958" s="194"/>
      <c r="J958" s="120"/>
      <c r="K958" s="120"/>
      <c r="L958" s="10"/>
      <c r="Z958" s="122"/>
    </row>
    <row r="959">
      <c r="A959" s="10"/>
      <c r="B959" s="10"/>
      <c r="C959" s="10"/>
      <c r="D959" s="10"/>
      <c r="E959" s="10"/>
      <c r="F959" s="10"/>
      <c r="G959" s="120"/>
      <c r="H959" s="194"/>
      <c r="I959" s="194"/>
      <c r="J959" s="120"/>
      <c r="K959" s="120"/>
      <c r="L959" s="10"/>
      <c r="Z959" s="122"/>
    </row>
    <row r="960">
      <c r="A960" s="10"/>
      <c r="B960" s="10"/>
      <c r="C960" s="10"/>
      <c r="D960" s="10"/>
      <c r="E960" s="10"/>
      <c r="F960" s="10"/>
      <c r="G960" s="120"/>
      <c r="H960" s="194"/>
      <c r="I960" s="194"/>
      <c r="J960" s="120"/>
      <c r="K960" s="120"/>
      <c r="L960" s="10"/>
      <c r="Z960" s="122"/>
    </row>
    <row r="961">
      <c r="A961" s="10"/>
      <c r="B961" s="10"/>
      <c r="C961" s="10"/>
      <c r="D961" s="10"/>
      <c r="E961" s="10"/>
      <c r="F961" s="10"/>
      <c r="G961" s="120"/>
      <c r="H961" s="194"/>
      <c r="I961" s="194"/>
      <c r="J961" s="120"/>
      <c r="K961" s="120"/>
      <c r="L961" s="10"/>
      <c r="Z961" s="122"/>
    </row>
    <row r="962">
      <c r="A962" s="10"/>
      <c r="B962" s="10"/>
      <c r="C962" s="10"/>
      <c r="D962" s="10"/>
      <c r="E962" s="10"/>
      <c r="F962" s="10"/>
      <c r="G962" s="120"/>
      <c r="H962" s="194"/>
      <c r="I962" s="194"/>
      <c r="J962" s="120"/>
      <c r="K962" s="120"/>
      <c r="L962" s="10"/>
      <c r="Z962" s="122"/>
    </row>
    <row r="963">
      <c r="A963" s="10"/>
      <c r="B963" s="10"/>
      <c r="C963" s="10"/>
      <c r="D963" s="10"/>
      <c r="E963" s="10"/>
      <c r="F963" s="10"/>
      <c r="G963" s="120"/>
      <c r="H963" s="194"/>
      <c r="I963" s="194"/>
      <c r="J963" s="120"/>
      <c r="K963" s="120"/>
      <c r="L963" s="10"/>
      <c r="Z963" s="122"/>
    </row>
    <row r="964">
      <c r="A964" s="10"/>
      <c r="B964" s="10"/>
      <c r="C964" s="10"/>
      <c r="D964" s="10"/>
      <c r="E964" s="10"/>
      <c r="F964" s="10"/>
      <c r="G964" s="120"/>
      <c r="H964" s="194"/>
      <c r="I964" s="194"/>
      <c r="J964" s="120"/>
      <c r="K964" s="120"/>
      <c r="L964" s="10"/>
      <c r="Z964" s="122"/>
    </row>
    <row r="965">
      <c r="A965" s="10"/>
      <c r="B965" s="10"/>
      <c r="C965" s="10"/>
      <c r="D965" s="10"/>
      <c r="E965" s="10"/>
      <c r="F965" s="10"/>
      <c r="G965" s="120"/>
      <c r="H965" s="194"/>
      <c r="I965" s="194"/>
      <c r="J965" s="120"/>
      <c r="K965" s="120"/>
      <c r="L965" s="10"/>
      <c r="Z965" s="122"/>
    </row>
    <row r="966">
      <c r="A966" s="10"/>
      <c r="B966" s="10"/>
      <c r="C966" s="10"/>
      <c r="D966" s="10"/>
      <c r="E966" s="10"/>
      <c r="F966" s="10"/>
      <c r="G966" s="120"/>
      <c r="H966" s="194"/>
      <c r="I966" s="194"/>
      <c r="J966" s="120"/>
      <c r="K966" s="120"/>
      <c r="L966" s="10"/>
      <c r="Z966" s="122"/>
    </row>
    <row r="967">
      <c r="A967" s="10"/>
      <c r="B967" s="10"/>
      <c r="C967" s="10"/>
      <c r="D967" s="10"/>
      <c r="E967" s="10"/>
      <c r="F967" s="10"/>
      <c r="G967" s="120"/>
      <c r="H967" s="194"/>
      <c r="I967" s="194"/>
      <c r="J967" s="120"/>
      <c r="K967" s="120"/>
      <c r="L967" s="10"/>
      <c r="Z967" s="122"/>
    </row>
    <row r="968">
      <c r="A968" s="10"/>
      <c r="B968" s="10"/>
      <c r="C968" s="10"/>
      <c r="D968" s="10"/>
      <c r="E968" s="10"/>
      <c r="F968" s="10"/>
      <c r="G968" s="120"/>
      <c r="H968" s="194"/>
      <c r="I968" s="194"/>
      <c r="J968" s="120"/>
      <c r="K968" s="120"/>
      <c r="L968" s="10"/>
      <c r="Z968" s="122"/>
    </row>
    <row r="969">
      <c r="A969" s="10"/>
      <c r="B969" s="10"/>
      <c r="C969" s="10"/>
      <c r="D969" s="10"/>
      <c r="E969" s="10"/>
      <c r="F969" s="10"/>
      <c r="G969" s="120"/>
      <c r="H969" s="194"/>
      <c r="I969" s="194"/>
      <c r="J969" s="120"/>
      <c r="K969" s="120"/>
      <c r="L969" s="10"/>
      <c r="Z969" s="122"/>
    </row>
    <row r="970">
      <c r="A970" s="10"/>
      <c r="B970" s="10"/>
      <c r="C970" s="10"/>
      <c r="D970" s="10"/>
      <c r="E970" s="10"/>
      <c r="F970" s="10"/>
      <c r="G970" s="120"/>
      <c r="H970" s="194"/>
      <c r="I970" s="194"/>
      <c r="J970" s="120"/>
      <c r="K970" s="120"/>
      <c r="L970" s="10"/>
      <c r="Z970" s="122"/>
    </row>
    <row r="971">
      <c r="A971" s="10"/>
      <c r="B971" s="10"/>
      <c r="C971" s="10"/>
      <c r="D971" s="10"/>
      <c r="E971" s="10"/>
      <c r="F971" s="10"/>
      <c r="G971" s="120"/>
      <c r="H971" s="194"/>
      <c r="I971" s="194"/>
      <c r="J971" s="120"/>
      <c r="K971" s="120"/>
      <c r="L971" s="10"/>
      <c r="Z971" s="122"/>
    </row>
    <row r="972">
      <c r="A972" s="10"/>
      <c r="B972" s="10"/>
      <c r="C972" s="10"/>
      <c r="D972" s="10"/>
      <c r="E972" s="10"/>
      <c r="F972" s="10"/>
      <c r="G972" s="120"/>
      <c r="H972" s="194"/>
      <c r="I972" s="194"/>
      <c r="J972" s="120"/>
      <c r="K972" s="120"/>
      <c r="L972" s="10"/>
      <c r="Z972" s="122"/>
    </row>
    <row r="973">
      <c r="A973" s="10"/>
      <c r="B973" s="10"/>
      <c r="C973" s="10"/>
      <c r="D973" s="10"/>
      <c r="E973" s="10"/>
      <c r="F973" s="10"/>
      <c r="G973" s="120"/>
      <c r="H973" s="194"/>
      <c r="I973" s="194"/>
      <c r="J973" s="120"/>
      <c r="K973" s="120"/>
      <c r="L973" s="10"/>
      <c r="Z973" s="122"/>
    </row>
    <row r="974">
      <c r="A974" s="10"/>
      <c r="B974" s="10"/>
      <c r="C974" s="10"/>
      <c r="D974" s="10"/>
      <c r="E974" s="10"/>
      <c r="F974" s="10"/>
      <c r="G974" s="120"/>
      <c r="H974" s="194"/>
      <c r="I974" s="194"/>
      <c r="J974" s="120"/>
      <c r="K974" s="120"/>
      <c r="L974" s="10"/>
      <c r="Z974" s="122"/>
    </row>
    <row r="975">
      <c r="A975" s="10"/>
      <c r="B975" s="10"/>
      <c r="C975" s="10"/>
      <c r="D975" s="10"/>
      <c r="E975" s="10"/>
      <c r="F975" s="10"/>
      <c r="G975" s="120"/>
      <c r="H975" s="194"/>
      <c r="I975" s="194"/>
      <c r="J975" s="120"/>
      <c r="K975" s="120"/>
      <c r="L975" s="10"/>
      <c r="Z975" s="122"/>
    </row>
    <row r="976">
      <c r="A976" s="10"/>
      <c r="B976" s="10"/>
      <c r="C976" s="10"/>
      <c r="D976" s="10"/>
      <c r="E976" s="10"/>
      <c r="F976" s="10"/>
      <c r="G976" s="120"/>
      <c r="H976" s="194"/>
      <c r="I976" s="194"/>
      <c r="J976" s="120"/>
      <c r="K976" s="120"/>
      <c r="L976" s="10"/>
      <c r="Z976" s="122"/>
    </row>
    <row r="977">
      <c r="A977" s="10"/>
      <c r="B977" s="10"/>
      <c r="C977" s="10"/>
      <c r="D977" s="10"/>
      <c r="E977" s="10"/>
      <c r="F977" s="10"/>
      <c r="G977" s="120"/>
      <c r="H977" s="194"/>
      <c r="I977" s="194"/>
      <c r="J977" s="120"/>
      <c r="K977" s="120"/>
      <c r="L977" s="10"/>
      <c r="Z977" s="122"/>
    </row>
    <row r="978">
      <c r="A978" s="10"/>
      <c r="B978" s="10"/>
      <c r="C978" s="10"/>
      <c r="D978" s="10"/>
      <c r="E978" s="10"/>
      <c r="F978" s="10"/>
      <c r="G978" s="120"/>
      <c r="H978" s="194"/>
      <c r="I978" s="194"/>
      <c r="J978" s="120"/>
      <c r="K978" s="120"/>
      <c r="L978" s="10"/>
      <c r="Z978" s="122"/>
    </row>
    <row r="979">
      <c r="A979" s="10"/>
      <c r="B979" s="10"/>
      <c r="C979" s="10"/>
      <c r="D979" s="10"/>
      <c r="E979" s="10"/>
      <c r="F979" s="10"/>
      <c r="G979" s="120"/>
      <c r="H979" s="194"/>
      <c r="I979" s="194"/>
      <c r="J979" s="120"/>
      <c r="K979" s="120"/>
      <c r="L979" s="10"/>
      <c r="Z979" s="122"/>
    </row>
    <row r="980">
      <c r="A980" s="10"/>
      <c r="B980" s="10"/>
      <c r="C980" s="10"/>
      <c r="D980" s="10"/>
      <c r="E980" s="10"/>
      <c r="F980" s="10"/>
      <c r="G980" s="120"/>
      <c r="H980" s="194"/>
      <c r="I980" s="194"/>
      <c r="J980" s="120"/>
      <c r="K980" s="120"/>
      <c r="L980" s="10"/>
      <c r="Z980" s="122"/>
    </row>
    <row r="981">
      <c r="A981" s="10"/>
      <c r="B981" s="10"/>
      <c r="C981" s="10"/>
      <c r="D981" s="10"/>
      <c r="E981" s="10"/>
      <c r="F981" s="10"/>
      <c r="G981" s="120"/>
      <c r="H981" s="194"/>
      <c r="I981" s="194"/>
      <c r="J981" s="120"/>
      <c r="K981" s="120"/>
      <c r="L981" s="10"/>
      <c r="Z981" s="122"/>
    </row>
    <row r="982">
      <c r="A982" s="10"/>
      <c r="B982" s="10"/>
      <c r="C982" s="10"/>
      <c r="D982" s="10"/>
      <c r="E982" s="10"/>
      <c r="F982" s="10"/>
      <c r="G982" s="120"/>
      <c r="H982" s="194"/>
      <c r="I982" s="194"/>
      <c r="J982" s="120"/>
      <c r="K982" s="120"/>
      <c r="L982" s="10"/>
      <c r="Z982" s="122"/>
    </row>
    <row r="983">
      <c r="A983" s="10"/>
      <c r="B983" s="10"/>
      <c r="C983" s="10"/>
      <c r="D983" s="10"/>
      <c r="E983" s="10"/>
      <c r="F983" s="10"/>
      <c r="G983" s="120"/>
      <c r="H983" s="194"/>
      <c r="I983" s="194"/>
      <c r="J983" s="120"/>
      <c r="K983" s="120"/>
      <c r="L983" s="10"/>
      <c r="Z983" s="122"/>
    </row>
    <row r="984">
      <c r="A984" s="10"/>
      <c r="B984" s="10"/>
      <c r="C984" s="10"/>
      <c r="D984" s="10"/>
      <c r="E984" s="10"/>
      <c r="F984" s="10"/>
      <c r="G984" s="120"/>
      <c r="H984" s="194"/>
      <c r="I984" s="194"/>
      <c r="J984" s="120"/>
      <c r="K984" s="120"/>
      <c r="L984" s="10"/>
      <c r="Z984" s="122"/>
    </row>
    <row r="985">
      <c r="A985" s="10"/>
      <c r="B985" s="10"/>
      <c r="C985" s="10"/>
      <c r="D985" s="10"/>
      <c r="E985" s="10"/>
      <c r="F985" s="10"/>
      <c r="G985" s="120"/>
      <c r="H985" s="194"/>
      <c r="I985" s="194"/>
      <c r="J985" s="120"/>
      <c r="K985" s="120"/>
      <c r="L985" s="10"/>
      <c r="Z985" s="122"/>
    </row>
    <row r="986">
      <c r="A986" s="10"/>
      <c r="B986" s="10"/>
      <c r="C986" s="10"/>
      <c r="D986" s="10"/>
      <c r="E986" s="10"/>
      <c r="F986" s="10"/>
      <c r="G986" s="120"/>
      <c r="H986" s="194"/>
      <c r="I986" s="194"/>
      <c r="J986" s="120"/>
      <c r="K986" s="120"/>
      <c r="L986" s="10"/>
      <c r="Z986" s="122"/>
    </row>
    <row r="987">
      <c r="A987" s="10"/>
      <c r="B987" s="10"/>
      <c r="C987" s="10"/>
      <c r="D987" s="10"/>
      <c r="E987" s="10"/>
      <c r="F987" s="10"/>
      <c r="G987" s="120"/>
      <c r="H987" s="194"/>
      <c r="I987" s="194"/>
      <c r="J987" s="120"/>
      <c r="K987" s="120"/>
      <c r="L987" s="10"/>
      <c r="Z987" s="122"/>
    </row>
    <row r="988">
      <c r="A988" s="10"/>
      <c r="B988" s="10"/>
      <c r="C988" s="10"/>
      <c r="D988" s="10"/>
      <c r="E988" s="10"/>
      <c r="F988" s="10"/>
      <c r="G988" s="120"/>
      <c r="H988" s="194"/>
      <c r="I988" s="194"/>
      <c r="J988" s="120"/>
      <c r="K988" s="120"/>
      <c r="L988" s="10"/>
      <c r="Z988" s="122"/>
    </row>
    <row r="989">
      <c r="A989" s="10"/>
      <c r="B989" s="10"/>
      <c r="C989" s="10"/>
      <c r="D989" s="10"/>
      <c r="E989" s="10"/>
      <c r="F989" s="10"/>
      <c r="G989" s="120"/>
      <c r="H989" s="194"/>
      <c r="I989" s="194"/>
      <c r="J989" s="120"/>
      <c r="K989" s="120"/>
      <c r="L989" s="10"/>
      <c r="Z989" s="122"/>
    </row>
    <row r="990">
      <c r="A990" s="10"/>
      <c r="B990" s="10"/>
      <c r="C990" s="10"/>
      <c r="D990" s="10"/>
      <c r="E990" s="10"/>
      <c r="F990" s="10"/>
      <c r="G990" s="120"/>
      <c r="H990" s="194"/>
      <c r="I990" s="194"/>
      <c r="J990" s="120"/>
      <c r="K990" s="120"/>
      <c r="L990" s="10"/>
      <c r="Z990" s="122"/>
    </row>
    <row r="991">
      <c r="A991" s="10"/>
      <c r="B991" s="10"/>
      <c r="C991" s="10"/>
      <c r="D991" s="10"/>
      <c r="E991" s="10"/>
      <c r="F991" s="10"/>
      <c r="G991" s="120"/>
      <c r="H991" s="194"/>
      <c r="I991" s="194"/>
      <c r="J991" s="120"/>
      <c r="K991" s="120"/>
      <c r="L991" s="10"/>
      <c r="Z991" s="122"/>
    </row>
    <row r="992">
      <c r="A992" s="10"/>
      <c r="B992" s="10"/>
      <c r="C992" s="10"/>
      <c r="D992" s="10"/>
      <c r="E992" s="10"/>
      <c r="F992" s="10"/>
      <c r="G992" s="120"/>
      <c r="H992" s="194"/>
      <c r="I992" s="194"/>
      <c r="J992" s="120"/>
      <c r="K992" s="120"/>
      <c r="L992" s="10"/>
      <c r="Z992" s="122"/>
    </row>
    <row r="993">
      <c r="A993" s="10"/>
      <c r="B993" s="10"/>
      <c r="C993" s="10"/>
      <c r="D993" s="10"/>
      <c r="E993" s="10"/>
      <c r="F993" s="10"/>
      <c r="G993" s="120"/>
      <c r="H993" s="194"/>
      <c r="I993" s="194"/>
      <c r="J993" s="120"/>
      <c r="K993" s="120"/>
      <c r="L993" s="10"/>
      <c r="Z993" s="122"/>
    </row>
    <row r="994">
      <c r="A994" s="10"/>
      <c r="B994" s="10"/>
      <c r="C994" s="10"/>
      <c r="D994" s="10"/>
      <c r="E994" s="10"/>
      <c r="F994" s="10"/>
      <c r="G994" s="120"/>
      <c r="H994" s="194"/>
      <c r="I994" s="194"/>
      <c r="J994" s="120"/>
      <c r="K994" s="120"/>
      <c r="L994" s="10"/>
      <c r="Z994" s="122"/>
    </row>
    <row r="995">
      <c r="A995" s="10"/>
      <c r="B995" s="10"/>
      <c r="C995" s="10"/>
      <c r="D995" s="10"/>
      <c r="E995" s="10"/>
      <c r="F995" s="10"/>
      <c r="G995" s="120"/>
      <c r="H995" s="194"/>
      <c r="I995" s="194"/>
      <c r="J995" s="120"/>
      <c r="K995" s="120"/>
      <c r="L995" s="10"/>
      <c r="Z995" s="122"/>
    </row>
    <row r="996">
      <c r="A996" s="10"/>
      <c r="B996" s="10"/>
      <c r="C996" s="10"/>
      <c r="D996" s="10"/>
      <c r="E996" s="10"/>
      <c r="F996" s="10"/>
      <c r="G996" s="120"/>
      <c r="H996" s="194"/>
      <c r="I996" s="194"/>
      <c r="J996" s="120"/>
      <c r="K996" s="120"/>
      <c r="L996" s="10"/>
      <c r="Z996" s="122"/>
    </row>
    <row r="997">
      <c r="A997" s="10"/>
      <c r="B997" s="10"/>
      <c r="C997" s="10"/>
      <c r="D997" s="10"/>
      <c r="E997" s="10"/>
      <c r="F997" s="10"/>
      <c r="G997" s="120"/>
      <c r="H997" s="194"/>
      <c r="I997" s="194"/>
      <c r="J997" s="120"/>
      <c r="K997" s="120"/>
      <c r="L997" s="10"/>
      <c r="Z997" s="122"/>
    </row>
    <row r="998">
      <c r="A998" s="10"/>
      <c r="B998" s="10"/>
      <c r="C998" s="10"/>
      <c r="D998" s="10"/>
      <c r="E998" s="10"/>
      <c r="F998" s="10"/>
      <c r="G998" s="120"/>
      <c r="H998" s="194"/>
      <c r="I998" s="194"/>
      <c r="J998" s="120"/>
      <c r="K998" s="120"/>
      <c r="L998" s="10"/>
      <c r="Z998" s="122"/>
    </row>
    <row r="999">
      <c r="A999" s="10"/>
      <c r="B999" s="10"/>
      <c r="C999" s="10"/>
      <c r="D999" s="10"/>
      <c r="E999" s="10"/>
      <c r="F999" s="10"/>
      <c r="G999" s="120"/>
      <c r="H999" s="194"/>
      <c r="I999" s="194"/>
      <c r="J999" s="120"/>
      <c r="K999" s="120"/>
      <c r="L999" s="10"/>
      <c r="Z999" s="122"/>
    </row>
    <row r="1000">
      <c r="A1000" s="10"/>
      <c r="B1000" s="10"/>
      <c r="C1000" s="10"/>
      <c r="D1000" s="10"/>
      <c r="E1000" s="10"/>
      <c r="F1000" s="10"/>
      <c r="G1000" s="120"/>
      <c r="H1000" s="194"/>
      <c r="I1000" s="194"/>
      <c r="J1000" s="120"/>
      <c r="K1000" s="120"/>
      <c r="L1000" s="10"/>
      <c r="Z1000" s="122"/>
    </row>
    <row r="1001">
      <c r="A1001" s="10"/>
      <c r="B1001" s="10"/>
      <c r="C1001" s="10"/>
      <c r="D1001" s="10"/>
      <c r="E1001" s="10"/>
      <c r="F1001" s="10"/>
      <c r="G1001" s="120"/>
      <c r="H1001" s="194"/>
      <c r="I1001" s="194"/>
      <c r="J1001" s="120"/>
      <c r="K1001" s="120"/>
      <c r="L1001" s="10"/>
      <c r="Z1001" s="122"/>
    </row>
    <row r="1002">
      <c r="A1002" s="10"/>
      <c r="B1002" s="10"/>
      <c r="C1002" s="10"/>
      <c r="D1002" s="10"/>
      <c r="E1002" s="10"/>
      <c r="F1002" s="10"/>
      <c r="G1002" s="120"/>
      <c r="H1002" s="194"/>
      <c r="I1002" s="194"/>
      <c r="J1002" s="120"/>
      <c r="K1002" s="120"/>
      <c r="L1002" s="10"/>
      <c r="Z1002" s="122"/>
    </row>
    <row r="1003">
      <c r="A1003" s="10"/>
      <c r="B1003" s="10"/>
      <c r="C1003" s="10"/>
      <c r="D1003" s="10"/>
      <c r="E1003" s="10"/>
      <c r="F1003" s="10"/>
      <c r="G1003" s="120"/>
      <c r="H1003" s="194"/>
      <c r="I1003" s="194"/>
      <c r="J1003" s="120"/>
      <c r="K1003" s="120"/>
      <c r="L1003" s="10"/>
      <c r="Z1003" s="122"/>
    </row>
    <row r="1004">
      <c r="A1004" s="10"/>
      <c r="B1004" s="10"/>
      <c r="C1004" s="10"/>
      <c r="D1004" s="10"/>
      <c r="E1004" s="10"/>
      <c r="F1004" s="10"/>
      <c r="G1004" s="120"/>
      <c r="H1004" s="194"/>
      <c r="I1004" s="194"/>
      <c r="J1004" s="120"/>
      <c r="K1004" s="120"/>
      <c r="L1004" s="10"/>
      <c r="Z1004" s="122"/>
    </row>
    <row r="1005">
      <c r="A1005" s="10"/>
      <c r="B1005" s="10"/>
      <c r="C1005" s="10"/>
      <c r="D1005" s="10"/>
      <c r="E1005" s="10"/>
      <c r="F1005" s="10"/>
      <c r="G1005" s="120"/>
      <c r="H1005" s="194"/>
      <c r="I1005" s="194"/>
      <c r="J1005" s="120"/>
      <c r="K1005" s="120"/>
      <c r="L1005" s="10"/>
      <c r="Z1005" s="122"/>
    </row>
    <row r="1006">
      <c r="A1006" s="10"/>
      <c r="B1006" s="10"/>
      <c r="C1006" s="10"/>
      <c r="D1006" s="10"/>
      <c r="E1006" s="10"/>
      <c r="F1006" s="10"/>
      <c r="G1006" s="120"/>
      <c r="H1006" s="194"/>
      <c r="I1006" s="194"/>
      <c r="J1006" s="120"/>
      <c r="K1006" s="120"/>
      <c r="L1006" s="10"/>
      <c r="Z1006" s="122"/>
    </row>
    <row r="1007">
      <c r="A1007" s="10"/>
      <c r="B1007" s="10"/>
      <c r="C1007" s="10"/>
      <c r="D1007" s="10"/>
      <c r="E1007" s="10"/>
      <c r="F1007" s="10"/>
      <c r="G1007" s="120"/>
      <c r="H1007" s="194"/>
      <c r="I1007" s="194"/>
      <c r="J1007" s="120"/>
      <c r="K1007" s="120"/>
      <c r="L1007" s="10"/>
      <c r="Z1007" s="122"/>
    </row>
    <row r="1008">
      <c r="A1008" s="10"/>
      <c r="B1008" s="10"/>
      <c r="C1008" s="10"/>
      <c r="D1008" s="10"/>
      <c r="E1008" s="10"/>
      <c r="F1008" s="10"/>
      <c r="G1008" s="120"/>
      <c r="H1008" s="194"/>
      <c r="I1008" s="194"/>
      <c r="J1008" s="120"/>
      <c r="K1008" s="120"/>
      <c r="L1008" s="10"/>
      <c r="Z1008" s="122"/>
    </row>
    <row r="1009">
      <c r="A1009" s="10"/>
      <c r="B1009" s="10"/>
      <c r="C1009" s="10"/>
      <c r="D1009" s="10"/>
      <c r="E1009" s="10"/>
      <c r="F1009" s="10"/>
      <c r="G1009" s="120"/>
      <c r="H1009" s="194"/>
      <c r="I1009" s="194"/>
      <c r="J1009" s="120"/>
      <c r="K1009" s="120"/>
      <c r="L1009" s="10"/>
      <c r="Z1009" s="122"/>
    </row>
    <row r="1010">
      <c r="A1010" s="10"/>
      <c r="B1010" s="10"/>
      <c r="C1010" s="10"/>
      <c r="D1010" s="10"/>
      <c r="E1010" s="10"/>
      <c r="F1010" s="10"/>
      <c r="G1010" s="120"/>
      <c r="H1010" s="194"/>
      <c r="I1010" s="194"/>
      <c r="J1010" s="120"/>
      <c r="K1010" s="120"/>
      <c r="L1010" s="10"/>
      <c r="Z1010" s="122"/>
    </row>
    <row r="1011">
      <c r="A1011" s="10"/>
      <c r="B1011" s="10"/>
      <c r="C1011" s="10"/>
      <c r="D1011" s="10"/>
      <c r="E1011" s="10"/>
      <c r="F1011" s="10"/>
      <c r="G1011" s="120"/>
      <c r="H1011" s="194"/>
      <c r="I1011" s="194"/>
      <c r="J1011" s="120"/>
      <c r="K1011" s="120"/>
      <c r="L1011" s="10"/>
      <c r="Z1011" s="122"/>
    </row>
    <row r="1012">
      <c r="A1012" s="10"/>
      <c r="B1012" s="10"/>
      <c r="C1012" s="10"/>
      <c r="D1012" s="10"/>
      <c r="E1012" s="10"/>
      <c r="F1012" s="10"/>
      <c r="G1012" s="120"/>
      <c r="H1012" s="194"/>
      <c r="I1012" s="194"/>
      <c r="J1012" s="120"/>
      <c r="K1012" s="120"/>
      <c r="L1012" s="10"/>
      <c r="Z1012" s="122"/>
    </row>
    <row r="1013">
      <c r="A1013" s="10"/>
      <c r="B1013" s="10"/>
      <c r="C1013" s="10"/>
      <c r="D1013" s="10"/>
      <c r="E1013" s="10"/>
      <c r="F1013" s="10"/>
      <c r="G1013" s="120"/>
      <c r="H1013" s="194"/>
      <c r="I1013" s="194"/>
      <c r="J1013" s="120"/>
      <c r="K1013" s="120"/>
      <c r="L1013" s="10"/>
      <c r="Z1013" s="122"/>
    </row>
    <row r="1014">
      <c r="A1014" s="10"/>
      <c r="B1014" s="10"/>
      <c r="C1014" s="10"/>
      <c r="D1014" s="10"/>
      <c r="E1014" s="10"/>
      <c r="F1014" s="10"/>
      <c r="G1014" s="120"/>
      <c r="H1014" s="194"/>
      <c r="I1014" s="194"/>
      <c r="J1014" s="120"/>
      <c r="K1014" s="120"/>
      <c r="L1014" s="10"/>
      <c r="Z1014" s="122"/>
    </row>
    <row r="1015">
      <c r="A1015" s="10"/>
      <c r="B1015" s="10"/>
      <c r="C1015" s="10"/>
      <c r="D1015" s="10"/>
      <c r="E1015" s="10"/>
      <c r="F1015" s="10"/>
      <c r="G1015" s="120"/>
      <c r="H1015" s="194"/>
      <c r="I1015" s="194"/>
      <c r="J1015" s="120"/>
      <c r="K1015" s="120"/>
      <c r="L1015" s="10"/>
      <c r="Z1015" s="122"/>
    </row>
    <row r="1016">
      <c r="A1016" s="10"/>
      <c r="B1016" s="10"/>
      <c r="C1016" s="10"/>
      <c r="D1016" s="10"/>
      <c r="E1016" s="10"/>
      <c r="F1016" s="10"/>
      <c r="G1016" s="120"/>
      <c r="H1016" s="194"/>
      <c r="I1016" s="194"/>
      <c r="J1016" s="120"/>
      <c r="K1016" s="120"/>
      <c r="L1016" s="10"/>
      <c r="Z1016" s="122"/>
    </row>
  </sheetData>
  <autoFilter ref="$A$9:$Z$187">
    <filterColumn colId="24">
      <filters>
        <filter val="5"/>
        <filter val="6"/>
        <filter val="7"/>
      </filters>
    </filterColumn>
  </autoFilter>
  <mergeCells count="2">
    <mergeCell ref="C3:C7"/>
    <mergeCell ref="L8:N8"/>
  </mergeCells>
  <conditionalFormatting sqref="O1:O1016">
    <cfRule type="cellIs" dxfId="0" priority="1" operator="lessThan">
      <formula>8</formula>
    </cfRule>
  </conditionalFormatting>
  <conditionalFormatting sqref="O1:O1016">
    <cfRule type="cellIs" dxfId="1" priority="2" operator="greaterThan">
      <formula>7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9.63"/>
    <col customWidth="1" min="3" max="3" width="11.5"/>
    <col customWidth="1" min="4" max="4" width="52.88"/>
    <col customWidth="1" min="6" max="6" width="22.88"/>
    <col customWidth="1" min="11" max="11" width="44.75"/>
    <col customWidth="1" min="12" max="12" width="20.38"/>
    <col customWidth="1" min="13" max="13" width="9.63"/>
    <col customWidth="1" min="14" max="14" width="12.88"/>
    <col customWidth="1" min="16" max="16" width="11.88"/>
    <col customWidth="1" min="17" max="17" width="19.0"/>
    <col customWidth="1" min="18" max="18" width="13.38"/>
  </cols>
  <sheetData>
    <row r="1" ht="27.75" customHeight="1">
      <c r="A1" s="195" t="s">
        <v>21</v>
      </c>
      <c r="B1" s="196" t="s">
        <v>728</v>
      </c>
      <c r="C1" s="197" t="s">
        <v>729</v>
      </c>
      <c r="D1" s="198" t="s">
        <v>730</v>
      </c>
      <c r="E1" s="198" t="s">
        <v>731</v>
      </c>
      <c r="F1" s="196" t="s">
        <v>732</v>
      </c>
      <c r="J1" s="199" t="s">
        <v>733</v>
      </c>
      <c r="K1" s="200" t="s">
        <v>734</v>
      </c>
      <c r="L1" s="200" t="s">
        <v>19</v>
      </c>
      <c r="M1" s="200" t="s">
        <v>735</v>
      </c>
      <c r="N1" s="200" t="s">
        <v>736</v>
      </c>
      <c r="P1" s="201" t="s">
        <v>737</v>
      </c>
      <c r="Q1" s="201" t="s">
        <v>19</v>
      </c>
      <c r="R1" s="202" t="s">
        <v>738</v>
      </c>
    </row>
    <row r="2">
      <c r="A2" s="203">
        <f t="shared" ref="A2:A172" si="1">ROW()-1</f>
        <v>1</v>
      </c>
      <c r="B2" s="204" t="s">
        <v>739</v>
      </c>
      <c r="C2" s="205">
        <v>45780.0</v>
      </c>
      <c r="D2" s="206" t="s">
        <v>447</v>
      </c>
      <c r="E2" s="207" t="str">
        <f t="shared" ref="E2:E172" si="2">VLOOKUP(D2,$K$1:$M$237,3,0)</f>
        <v>HCM 027</v>
      </c>
      <c r="F2" s="208" t="str">
        <f t="shared" ref="F2:F172" si="3">VLOOKUP(D2,$K$2:$L$176,2,0)</f>
        <v>Lê Ngọc Phát</v>
      </c>
      <c r="J2" s="209"/>
      <c r="K2" s="210" t="s">
        <v>512</v>
      </c>
      <c r="L2" s="210" t="str">
        <f t="shared" ref="L2:L172" si="4">VLOOKUP(M2,$P$2:$Q$39,2,0)</f>
        <v>Lê Ngọc Phát</v>
      </c>
      <c r="M2" s="210" t="s">
        <v>740</v>
      </c>
      <c r="N2" s="210" t="s">
        <v>741</v>
      </c>
      <c r="P2" s="211" t="s">
        <v>742</v>
      </c>
      <c r="Q2" s="212" t="s">
        <v>743</v>
      </c>
      <c r="R2" s="211" t="s">
        <v>744</v>
      </c>
    </row>
    <row r="3">
      <c r="A3" s="203">
        <f t="shared" si="1"/>
        <v>2</v>
      </c>
      <c r="B3" s="204" t="s">
        <v>745</v>
      </c>
      <c r="C3" s="205" t="s">
        <v>746</v>
      </c>
      <c r="D3" s="206" t="s">
        <v>578</v>
      </c>
      <c r="E3" s="207" t="str">
        <f t="shared" si="2"/>
        <v>HCM 017</v>
      </c>
      <c r="F3" s="208" t="str">
        <f t="shared" si="3"/>
        <v>Nguyễn Bữu Trùng Dương</v>
      </c>
      <c r="J3" s="209"/>
      <c r="K3" s="210" t="s">
        <v>447</v>
      </c>
      <c r="L3" s="210" t="str">
        <f t="shared" si="4"/>
        <v>Lê Ngọc Phát</v>
      </c>
      <c r="M3" s="210" t="s">
        <v>740</v>
      </c>
      <c r="N3" s="210" t="s">
        <v>741</v>
      </c>
      <c r="P3" s="211" t="s">
        <v>747</v>
      </c>
      <c r="Q3" s="212" t="s">
        <v>748</v>
      </c>
      <c r="R3" s="211" t="s">
        <v>744</v>
      </c>
    </row>
    <row r="4">
      <c r="A4" s="203">
        <f t="shared" si="1"/>
        <v>3</v>
      </c>
      <c r="B4" s="204" t="s">
        <v>749</v>
      </c>
      <c r="C4" s="205">
        <v>45241.0</v>
      </c>
      <c r="D4" s="206" t="s">
        <v>579</v>
      </c>
      <c r="E4" s="207" t="str">
        <f t="shared" si="2"/>
        <v>HCM 017</v>
      </c>
      <c r="F4" s="208" t="str">
        <f t="shared" si="3"/>
        <v>Nguyễn Bữu Trùng Dương</v>
      </c>
      <c r="J4" s="209"/>
      <c r="K4" s="210" t="s">
        <v>717</v>
      </c>
      <c r="L4" s="210" t="str">
        <f t="shared" si="4"/>
        <v>Lê Ngọc Phát</v>
      </c>
      <c r="M4" s="210" t="s">
        <v>740</v>
      </c>
      <c r="N4" s="210" t="s">
        <v>741</v>
      </c>
      <c r="P4" s="211" t="s">
        <v>750</v>
      </c>
      <c r="Q4" s="212" t="s">
        <v>751</v>
      </c>
      <c r="R4" s="211" t="s">
        <v>744</v>
      </c>
    </row>
    <row r="5">
      <c r="A5" s="203">
        <f t="shared" si="1"/>
        <v>4</v>
      </c>
      <c r="B5" s="204" t="s">
        <v>752</v>
      </c>
      <c r="C5" s="205" t="s">
        <v>753</v>
      </c>
      <c r="D5" s="206" t="s">
        <v>580</v>
      </c>
      <c r="E5" s="207" t="str">
        <f t="shared" si="2"/>
        <v>HCM 017</v>
      </c>
      <c r="F5" s="208" t="str">
        <f t="shared" si="3"/>
        <v>Nguyễn Bữu Trùng Dương</v>
      </c>
      <c r="J5" s="209"/>
      <c r="K5" s="210" t="s">
        <v>578</v>
      </c>
      <c r="L5" s="210" t="str">
        <f t="shared" si="4"/>
        <v>Nguyễn Bữu Trùng Dương</v>
      </c>
      <c r="M5" s="210" t="s">
        <v>754</v>
      </c>
      <c r="N5" s="210" t="s">
        <v>741</v>
      </c>
      <c r="P5" s="211" t="s">
        <v>755</v>
      </c>
      <c r="Q5" s="212" t="s">
        <v>756</v>
      </c>
      <c r="R5" s="211" t="s">
        <v>744</v>
      </c>
    </row>
    <row r="6">
      <c r="A6" s="203">
        <f t="shared" si="1"/>
        <v>5</v>
      </c>
      <c r="B6" s="204" t="s">
        <v>757</v>
      </c>
      <c r="C6" s="205" t="s">
        <v>758</v>
      </c>
      <c r="D6" s="206" t="s">
        <v>581</v>
      </c>
      <c r="E6" s="207" t="str">
        <f t="shared" si="2"/>
        <v>HCM 017</v>
      </c>
      <c r="F6" s="208" t="str">
        <f t="shared" si="3"/>
        <v>Nguyễn Bữu Trùng Dương</v>
      </c>
      <c r="J6" s="209"/>
      <c r="K6" s="210" t="s">
        <v>579</v>
      </c>
      <c r="L6" s="210" t="str">
        <f t="shared" si="4"/>
        <v>Nguyễn Bữu Trùng Dương</v>
      </c>
      <c r="M6" s="210" t="s">
        <v>754</v>
      </c>
      <c r="N6" s="210" t="s">
        <v>741</v>
      </c>
      <c r="P6" s="211" t="s">
        <v>759</v>
      </c>
      <c r="Q6" s="212" t="s">
        <v>760</v>
      </c>
      <c r="R6" s="211" t="s">
        <v>744</v>
      </c>
    </row>
    <row r="7">
      <c r="A7" s="203">
        <f t="shared" si="1"/>
        <v>6</v>
      </c>
      <c r="B7" s="204" t="s">
        <v>102</v>
      </c>
      <c r="C7" s="205" t="s">
        <v>354</v>
      </c>
      <c r="D7" s="206" t="s">
        <v>582</v>
      </c>
      <c r="E7" s="207" t="str">
        <f t="shared" si="2"/>
        <v>HCM 017</v>
      </c>
      <c r="F7" s="208" t="str">
        <f t="shared" si="3"/>
        <v>Nguyễn Bữu Trùng Dương</v>
      </c>
      <c r="J7" s="209"/>
      <c r="K7" s="210" t="s">
        <v>580</v>
      </c>
      <c r="L7" s="210" t="str">
        <f t="shared" si="4"/>
        <v>Nguyễn Bữu Trùng Dương</v>
      </c>
      <c r="M7" s="210" t="s">
        <v>754</v>
      </c>
      <c r="N7" s="210" t="s">
        <v>741</v>
      </c>
      <c r="P7" s="211" t="s">
        <v>761</v>
      </c>
      <c r="Q7" s="212" t="s">
        <v>762</v>
      </c>
      <c r="R7" s="211" t="s">
        <v>744</v>
      </c>
    </row>
    <row r="8">
      <c r="A8" s="203">
        <f t="shared" si="1"/>
        <v>7</v>
      </c>
      <c r="B8" s="204" t="s">
        <v>763</v>
      </c>
      <c r="C8" s="205" t="s">
        <v>764</v>
      </c>
      <c r="D8" s="206" t="s">
        <v>516</v>
      </c>
      <c r="E8" s="207" t="str">
        <f t="shared" si="2"/>
        <v>HCM 010</v>
      </c>
      <c r="F8" s="208" t="str">
        <f t="shared" si="3"/>
        <v>Cao Chánh Tuấn</v>
      </c>
      <c r="J8" s="209"/>
      <c r="K8" s="210" t="s">
        <v>581</v>
      </c>
      <c r="L8" s="210" t="str">
        <f t="shared" si="4"/>
        <v>Nguyễn Bữu Trùng Dương</v>
      </c>
      <c r="M8" s="210" t="s">
        <v>754</v>
      </c>
      <c r="N8" s="210" t="s">
        <v>741</v>
      </c>
      <c r="P8" s="211" t="s">
        <v>765</v>
      </c>
      <c r="Q8" s="212" t="s">
        <v>766</v>
      </c>
      <c r="R8" s="211" t="s">
        <v>744</v>
      </c>
    </row>
    <row r="9">
      <c r="A9" s="203">
        <f t="shared" si="1"/>
        <v>8</v>
      </c>
      <c r="B9" s="204" t="s">
        <v>767</v>
      </c>
      <c r="C9" s="205">
        <v>45114.0</v>
      </c>
      <c r="D9" s="206" t="s">
        <v>768</v>
      </c>
      <c r="E9" s="207" t="str">
        <f t="shared" si="2"/>
        <v>HCM 022</v>
      </c>
      <c r="F9" s="208" t="str">
        <f t="shared" si="3"/>
        <v>Hồng Trọng Nghĩa</v>
      </c>
      <c r="J9" s="209"/>
      <c r="K9" s="210" t="s">
        <v>582</v>
      </c>
      <c r="L9" s="210" t="str">
        <f t="shared" si="4"/>
        <v>Nguyễn Bữu Trùng Dương</v>
      </c>
      <c r="M9" s="210" t="s">
        <v>754</v>
      </c>
      <c r="N9" s="210" t="s">
        <v>741</v>
      </c>
      <c r="P9" s="211" t="s">
        <v>769</v>
      </c>
      <c r="Q9" s="212" t="s">
        <v>770</v>
      </c>
      <c r="R9" s="211" t="s">
        <v>744</v>
      </c>
    </row>
    <row r="10">
      <c r="A10" s="203">
        <f t="shared" si="1"/>
        <v>9</v>
      </c>
      <c r="B10" s="204" t="s">
        <v>771</v>
      </c>
      <c r="C10" s="205" t="s">
        <v>772</v>
      </c>
      <c r="D10" s="206" t="s">
        <v>656</v>
      </c>
      <c r="E10" s="207" t="str">
        <f t="shared" si="2"/>
        <v>HCM 010</v>
      </c>
      <c r="F10" s="208" t="str">
        <f t="shared" si="3"/>
        <v>Cao Chánh Tuấn</v>
      </c>
      <c r="J10" s="209"/>
      <c r="K10" s="210" t="s">
        <v>516</v>
      </c>
      <c r="L10" s="210" t="str">
        <f t="shared" si="4"/>
        <v>Cao Chánh Tuấn</v>
      </c>
      <c r="M10" s="210" t="s">
        <v>759</v>
      </c>
      <c r="N10" s="210" t="s">
        <v>744</v>
      </c>
      <c r="P10" s="211" t="s">
        <v>773</v>
      </c>
      <c r="Q10" s="212" t="s">
        <v>774</v>
      </c>
      <c r="R10" s="211" t="s">
        <v>744</v>
      </c>
    </row>
    <row r="11">
      <c r="A11" s="203">
        <f t="shared" si="1"/>
        <v>10</v>
      </c>
      <c r="B11" s="204" t="s">
        <v>775</v>
      </c>
      <c r="C11" s="205" t="s">
        <v>776</v>
      </c>
      <c r="D11" s="206" t="s">
        <v>535</v>
      </c>
      <c r="E11" s="207" t="str">
        <f t="shared" si="2"/>
        <v>HCM 022</v>
      </c>
      <c r="F11" s="208" t="str">
        <f t="shared" si="3"/>
        <v>Hồng Trọng Nghĩa</v>
      </c>
      <c r="J11" s="209"/>
      <c r="K11" s="210" t="s">
        <v>768</v>
      </c>
      <c r="L11" s="210" t="str">
        <f t="shared" si="4"/>
        <v>Hồng Trọng Nghĩa</v>
      </c>
      <c r="M11" s="210" t="s">
        <v>777</v>
      </c>
      <c r="N11" s="210" t="s">
        <v>744</v>
      </c>
      <c r="P11" s="211" t="s">
        <v>778</v>
      </c>
      <c r="Q11" s="212" t="s">
        <v>779</v>
      </c>
      <c r="R11" s="211" t="s">
        <v>744</v>
      </c>
    </row>
    <row r="12">
      <c r="A12" s="203">
        <f t="shared" si="1"/>
        <v>11</v>
      </c>
      <c r="B12" s="204" t="s">
        <v>405</v>
      </c>
      <c r="C12" s="205">
        <v>46082.0</v>
      </c>
      <c r="D12" s="206" t="s">
        <v>626</v>
      </c>
      <c r="E12" s="207" t="str">
        <f t="shared" si="2"/>
        <v>HCM 022</v>
      </c>
      <c r="F12" s="208" t="str">
        <f t="shared" si="3"/>
        <v>Hồng Trọng Nghĩa</v>
      </c>
      <c r="J12" s="209"/>
      <c r="K12" s="210" t="s">
        <v>656</v>
      </c>
      <c r="L12" s="210" t="str">
        <f t="shared" si="4"/>
        <v>Cao Chánh Tuấn</v>
      </c>
      <c r="M12" s="210" t="s">
        <v>759</v>
      </c>
      <c r="N12" s="210" t="s">
        <v>744</v>
      </c>
      <c r="P12" s="211" t="s">
        <v>777</v>
      </c>
      <c r="Q12" s="212" t="s">
        <v>780</v>
      </c>
      <c r="R12" s="211" t="s">
        <v>744</v>
      </c>
    </row>
    <row r="13">
      <c r="A13" s="203">
        <f t="shared" si="1"/>
        <v>12</v>
      </c>
      <c r="B13" s="204" t="s">
        <v>781</v>
      </c>
      <c r="C13" s="205" t="s">
        <v>782</v>
      </c>
      <c r="D13" s="206" t="s">
        <v>604</v>
      </c>
      <c r="E13" s="207" t="str">
        <f t="shared" si="2"/>
        <v>HCM 011</v>
      </c>
      <c r="F13" s="208" t="str">
        <f t="shared" si="3"/>
        <v>Nguyễn Thị Tuyết Trinh</v>
      </c>
      <c r="J13" s="209"/>
      <c r="K13" s="210" t="s">
        <v>535</v>
      </c>
      <c r="L13" s="210" t="str">
        <f t="shared" si="4"/>
        <v>Hồng Trọng Nghĩa</v>
      </c>
      <c r="M13" s="210" t="s">
        <v>777</v>
      </c>
      <c r="N13" s="210" t="s">
        <v>744</v>
      </c>
      <c r="P13" s="211" t="s">
        <v>783</v>
      </c>
      <c r="Q13" s="212" t="s">
        <v>784</v>
      </c>
      <c r="R13" s="211" t="s">
        <v>744</v>
      </c>
    </row>
    <row r="14">
      <c r="A14" s="203">
        <f t="shared" si="1"/>
        <v>13</v>
      </c>
      <c r="B14" s="204" t="s">
        <v>785</v>
      </c>
      <c r="C14" s="205" t="s">
        <v>786</v>
      </c>
      <c r="D14" s="206" t="s">
        <v>428</v>
      </c>
      <c r="E14" s="207" t="str">
        <f t="shared" si="2"/>
        <v>HCM 022</v>
      </c>
      <c r="F14" s="208" t="str">
        <f t="shared" si="3"/>
        <v>Hồng Trọng Nghĩa</v>
      </c>
      <c r="J14" s="209"/>
      <c r="K14" s="210" t="s">
        <v>626</v>
      </c>
      <c r="L14" s="210" t="str">
        <f t="shared" si="4"/>
        <v>Hồng Trọng Nghĩa</v>
      </c>
      <c r="M14" s="210" t="s">
        <v>777</v>
      </c>
      <c r="N14" s="210" t="s">
        <v>744</v>
      </c>
      <c r="P14" s="211" t="s">
        <v>787</v>
      </c>
      <c r="Q14" s="212" t="s">
        <v>788</v>
      </c>
      <c r="R14" s="211" t="s">
        <v>744</v>
      </c>
    </row>
    <row r="15">
      <c r="A15" s="203">
        <f t="shared" si="1"/>
        <v>14</v>
      </c>
      <c r="B15" s="204" t="s">
        <v>789</v>
      </c>
      <c r="C15" s="205" t="s">
        <v>790</v>
      </c>
      <c r="D15" s="206" t="s">
        <v>463</v>
      </c>
      <c r="E15" s="207" t="str">
        <f t="shared" si="2"/>
        <v>HCM 031</v>
      </c>
      <c r="F15" s="208" t="str">
        <f t="shared" si="3"/>
        <v>Nguyễn Thị Ngọc Giàu</v>
      </c>
      <c r="J15" s="209"/>
      <c r="K15" s="210" t="s">
        <v>604</v>
      </c>
      <c r="L15" s="210" t="str">
        <f t="shared" si="4"/>
        <v>Nguyễn Thị Tuyết Trinh</v>
      </c>
      <c r="M15" s="210" t="s">
        <v>761</v>
      </c>
      <c r="N15" s="210" t="s">
        <v>744</v>
      </c>
      <c r="P15" s="211" t="s">
        <v>791</v>
      </c>
      <c r="Q15" s="212" t="s">
        <v>792</v>
      </c>
      <c r="R15" s="211" t="s">
        <v>744</v>
      </c>
    </row>
    <row r="16">
      <c r="A16" s="203">
        <f t="shared" si="1"/>
        <v>15</v>
      </c>
      <c r="B16" s="204" t="s">
        <v>793</v>
      </c>
      <c r="C16" s="205" t="s">
        <v>794</v>
      </c>
      <c r="D16" s="206" t="s">
        <v>543</v>
      </c>
      <c r="E16" s="207" t="str">
        <f t="shared" si="2"/>
        <v>HCM 012</v>
      </c>
      <c r="F16" s="208" t="str">
        <f t="shared" si="3"/>
        <v>Nguyễn Thị Ngọc Thảo</v>
      </c>
      <c r="J16" s="209"/>
      <c r="K16" s="210" t="s">
        <v>428</v>
      </c>
      <c r="L16" s="210" t="str">
        <f t="shared" si="4"/>
        <v>Hồng Trọng Nghĩa</v>
      </c>
      <c r="M16" s="210" t="s">
        <v>777</v>
      </c>
      <c r="N16" s="210" t="s">
        <v>744</v>
      </c>
      <c r="P16" s="211" t="s">
        <v>795</v>
      </c>
      <c r="Q16" s="212" t="s">
        <v>796</v>
      </c>
      <c r="R16" s="211" t="s">
        <v>744</v>
      </c>
    </row>
    <row r="17">
      <c r="A17" s="203">
        <f t="shared" si="1"/>
        <v>16</v>
      </c>
      <c r="B17" s="204" t="s">
        <v>797</v>
      </c>
      <c r="C17" s="205" t="s">
        <v>798</v>
      </c>
      <c r="D17" s="206" t="s">
        <v>584</v>
      </c>
      <c r="E17" s="207" t="str">
        <f t="shared" si="2"/>
        <v>HCM 012</v>
      </c>
      <c r="F17" s="208" t="str">
        <f t="shared" si="3"/>
        <v>Nguyễn Thị Ngọc Thảo</v>
      </c>
      <c r="J17" s="209"/>
      <c r="K17" s="210" t="s">
        <v>463</v>
      </c>
      <c r="L17" s="210" t="str">
        <f t="shared" si="4"/>
        <v>Nguyễn Thị Ngọc Giàu</v>
      </c>
      <c r="M17" s="210" t="s">
        <v>799</v>
      </c>
      <c r="N17" s="210" t="s">
        <v>744</v>
      </c>
      <c r="P17" s="211" t="s">
        <v>800</v>
      </c>
      <c r="Q17" s="212" t="s">
        <v>801</v>
      </c>
      <c r="R17" s="211" t="s">
        <v>744</v>
      </c>
    </row>
    <row r="18">
      <c r="A18" s="203">
        <f t="shared" si="1"/>
        <v>17</v>
      </c>
      <c r="B18" s="204" t="s">
        <v>802</v>
      </c>
      <c r="C18" s="205">
        <v>45233.0</v>
      </c>
      <c r="D18" s="206" t="s">
        <v>460</v>
      </c>
      <c r="E18" s="207" t="str">
        <f t="shared" si="2"/>
        <v>HCM 031</v>
      </c>
      <c r="F18" s="208" t="str">
        <f t="shared" si="3"/>
        <v>Nguyễn Thị Ngọc Giàu</v>
      </c>
      <c r="J18" s="209"/>
      <c r="K18" s="210" t="s">
        <v>569</v>
      </c>
      <c r="L18" s="210" t="str">
        <f t="shared" si="4"/>
        <v>Nguyễn Thị Ngọc Giàu</v>
      </c>
      <c r="M18" s="210" t="s">
        <v>799</v>
      </c>
      <c r="N18" s="210" t="s">
        <v>744</v>
      </c>
      <c r="P18" s="211" t="s">
        <v>799</v>
      </c>
      <c r="Q18" s="212" t="s">
        <v>803</v>
      </c>
      <c r="R18" s="211" t="s">
        <v>744</v>
      </c>
    </row>
    <row r="19">
      <c r="A19" s="203">
        <f t="shared" si="1"/>
        <v>18</v>
      </c>
      <c r="B19" s="204" t="s">
        <v>804</v>
      </c>
      <c r="C19" s="205" t="s">
        <v>805</v>
      </c>
      <c r="D19" s="206" t="s">
        <v>489</v>
      </c>
      <c r="E19" s="207" t="str">
        <f t="shared" si="2"/>
        <v>HCM 011</v>
      </c>
      <c r="F19" s="208" t="str">
        <f t="shared" si="3"/>
        <v>Nguyễn Thị Tuyết Trinh</v>
      </c>
      <c r="J19" s="209"/>
      <c r="K19" s="210" t="s">
        <v>543</v>
      </c>
      <c r="L19" s="210" t="str">
        <f t="shared" si="4"/>
        <v>Nguyễn Thị Ngọc Thảo</v>
      </c>
      <c r="M19" s="210" t="s">
        <v>765</v>
      </c>
      <c r="N19" s="210" t="s">
        <v>744</v>
      </c>
      <c r="P19" s="211" t="s">
        <v>806</v>
      </c>
      <c r="Q19" s="212" t="s">
        <v>807</v>
      </c>
      <c r="R19" s="211" t="s">
        <v>744</v>
      </c>
    </row>
    <row r="20">
      <c r="A20" s="203">
        <f t="shared" si="1"/>
        <v>19</v>
      </c>
      <c r="B20" s="204" t="s">
        <v>808</v>
      </c>
      <c r="C20" s="205" t="s">
        <v>809</v>
      </c>
      <c r="D20" s="206" t="s">
        <v>645</v>
      </c>
      <c r="E20" s="207" t="str">
        <f t="shared" si="2"/>
        <v>HCM 011</v>
      </c>
      <c r="F20" s="208" t="str">
        <f t="shared" si="3"/>
        <v>Nguyễn Thị Tuyết Trinh</v>
      </c>
      <c r="J20" s="209"/>
      <c r="K20" s="210" t="s">
        <v>584</v>
      </c>
      <c r="L20" s="210" t="str">
        <f t="shared" si="4"/>
        <v>Nguyễn Thị Ngọc Thảo</v>
      </c>
      <c r="M20" s="210" t="s">
        <v>765</v>
      </c>
      <c r="N20" s="210" t="s">
        <v>744</v>
      </c>
      <c r="P20" s="211" t="s">
        <v>810</v>
      </c>
      <c r="Q20" s="212" t="s">
        <v>811</v>
      </c>
      <c r="R20" s="211" t="s">
        <v>741</v>
      </c>
    </row>
    <row r="21">
      <c r="A21" s="203">
        <f t="shared" si="1"/>
        <v>20</v>
      </c>
      <c r="B21" s="204" t="s">
        <v>812</v>
      </c>
      <c r="C21" s="205" t="s">
        <v>192</v>
      </c>
      <c r="D21" s="206" t="s">
        <v>476</v>
      </c>
      <c r="E21" s="207" t="str">
        <f t="shared" si="2"/>
        <v>HCM 029</v>
      </c>
      <c r="F21" s="208" t="str">
        <f t="shared" si="3"/>
        <v>Võ Văn Phi Hùng</v>
      </c>
      <c r="J21" s="209"/>
      <c r="K21" s="210" t="s">
        <v>460</v>
      </c>
      <c r="L21" s="210" t="str">
        <f t="shared" si="4"/>
        <v>Nguyễn Thị Ngọc Giàu</v>
      </c>
      <c r="M21" s="210" t="s">
        <v>799</v>
      </c>
      <c r="N21" s="210" t="s">
        <v>744</v>
      </c>
      <c r="P21" s="211" t="s">
        <v>813</v>
      </c>
      <c r="Q21" s="212" t="s">
        <v>814</v>
      </c>
      <c r="R21" s="211" t="s">
        <v>741</v>
      </c>
    </row>
    <row r="22">
      <c r="A22" s="203">
        <f t="shared" si="1"/>
        <v>21</v>
      </c>
      <c r="B22" s="204" t="s">
        <v>815</v>
      </c>
      <c r="C22" s="205" t="s">
        <v>816</v>
      </c>
      <c r="D22" s="206" t="s">
        <v>680</v>
      </c>
      <c r="E22" s="207" t="str">
        <f t="shared" si="2"/>
        <v>HCM 025</v>
      </c>
      <c r="F22" s="208" t="str">
        <f t="shared" si="3"/>
        <v>Đoàn Ngọc Thịnh</v>
      </c>
      <c r="J22" s="209"/>
      <c r="K22" s="210" t="s">
        <v>489</v>
      </c>
      <c r="L22" s="210" t="str">
        <f t="shared" si="4"/>
        <v>Nguyễn Thị Tuyết Trinh</v>
      </c>
      <c r="M22" s="210" t="s">
        <v>761</v>
      </c>
      <c r="N22" s="210" t="s">
        <v>744</v>
      </c>
      <c r="P22" s="211" t="s">
        <v>817</v>
      </c>
      <c r="Q22" s="211" t="s">
        <v>818</v>
      </c>
      <c r="R22" s="211" t="s">
        <v>741</v>
      </c>
    </row>
    <row r="23">
      <c r="A23" s="203">
        <f t="shared" si="1"/>
        <v>22</v>
      </c>
      <c r="B23" s="204" t="s">
        <v>819</v>
      </c>
      <c r="C23" s="205" t="s">
        <v>820</v>
      </c>
      <c r="D23" s="206" t="s">
        <v>469</v>
      </c>
      <c r="E23" s="207" t="str">
        <f t="shared" si="2"/>
        <v>HCM 018</v>
      </c>
      <c r="F23" s="208" t="str">
        <f t="shared" si="3"/>
        <v>Võ Minh Đạt</v>
      </c>
      <c r="J23" s="209"/>
      <c r="K23" s="210" t="s">
        <v>645</v>
      </c>
      <c r="L23" s="210" t="str">
        <f t="shared" si="4"/>
        <v>Nguyễn Thị Tuyết Trinh</v>
      </c>
      <c r="M23" s="210" t="s">
        <v>761</v>
      </c>
      <c r="N23" s="210" t="s">
        <v>744</v>
      </c>
      <c r="P23" s="211" t="s">
        <v>821</v>
      </c>
      <c r="Q23" s="211" t="s">
        <v>822</v>
      </c>
      <c r="R23" s="211" t="s">
        <v>741</v>
      </c>
    </row>
    <row r="24">
      <c r="A24" s="203">
        <f t="shared" si="1"/>
        <v>23</v>
      </c>
      <c r="B24" s="204" t="s">
        <v>109</v>
      </c>
      <c r="C24" s="205">
        <v>45933.0</v>
      </c>
      <c r="D24" s="206" t="s">
        <v>468</v>
      </c>
      <c r="E24" s="207" t="str">
        <f t="shared" si="2"/>
        <v>HCM 016</v>
      </c>
      <c r="F24" s="208" t="str">
        <f t="shared" si="3"/>
        <v>Lê Nguyễn Ngọc Phượng</v>
      </c>
      <c r="J24" s="209"/>
      <c r="K24" s="210" t="s">
        <v>476</v>
      </c>
      <c r="L24" s="210" t="str">
        <f t="shared" si="4"/>
        <v>Võ Văn Phi Hùng</v>
      </c>
      <c r="M24" s="210" t="s">
        <v>795</v>
      </c>
      <c r="N24" s="210" t="s">
        <v>744</v>
      </c>
      <c r="P24" s="211" t="s">
        <v>823</v>
      </c>
      <c r="Q24" s="211" t="s">
        <v>824</v>
      </c>
      <c r="R24" s="211" t="s">
        <v>741</v>
      </c>
    </row>
    <row r="25">
      <c r="A25" s="203">
        <f t="shared" si="1"/>
        <v>24</v>
      </c>
      <c r="B25" s="204" t="s">
        <v>825</v>
      </c>
      <c r="C25" s="205">
        <v>45505.0</v>
      </c>
      <c r="D25" s="206" t="s">
        <v>530</v>
      </c>
      <c r="E25" s="207" t="str">
        <f t="shared" si="2"/>
        <v>HCM 025</v>
      </c>
      <c r="F25" s="208" t="str">
        <f t="shared" si="3"/>
        <v>Đoàn Ngọc Thịnh</v>
      </c>
      <c r="J25" s="209"/>
      <c r="K25" s="210" t="s">
        <v>680</v>
      </c>
      <c r="L25" s="210" t="str">
        <f t="shared" si="4"/>
        <v>Đoàn Ngọc Thịnh</v>
      </c>
      <c r="M25" s="210" t="s">
        <v>826</v>
      </c>
      <c r="N25" s="210" t="s">
        <v>741</v>
      </c>
      <c r="P25" s="211" t="s">
        <v>827</v>
      </c>
      <c r="Q25" s="211" t="s">
        <v>828</v>
      </c>
      <c r="R25" s="211" t="s">
        <v>741</v>
      </c>
    </row>
    <row r="26">
      <c r="A26" s="203">
        <f t="shared" si="1"/>
        <v>25</v>
      </c>
      <c r="B26" s="204" t="s">
        <v>68</v>
      </c>
      <c r="C26" s="205">
        <v>45940.0</v>
      </c>
      <c r="D26" s="206" t="s">
        <v>531</v>
      </c>
      <c r="E26" s="207" t="str">
        <f t="shared" si="2"/>
        <v>HCM 025</v>
      </c>
      <c r="F26" s="208" t="str">
        <f t="shared" si="3"/>
        <v>Đoàn Ngọc Thịnh</v>
      </c>
      <c r="J26" s="209"/>
      <c r="K26" s="210" t="s">
        <v>469</v>
      </c>
      <c r="L26" s="210" t="str">
        <f t="shared" si="4"/>
        <v>Võ Minh Đạt</v>
      </c>
      <c r="M26" s="210" t="s">
        <v>829</v>
      </c>
      <c r="N26" s="210" t="s">
        <v>741</v>
      </c>
      <c r="P26" s="211" t="s">
        <v>754</v>
      </c>
      <c r="Q26" s="211" t="s">
        <v>830</v>
      </c>
      <c r="R26" s="211" t="s">
        <v>741</v>
      </c>
    </row>
    <row r="27">
      <c r="A27" s="203">
        <f t="shared" si="1"/>
        <v>26</v>
      </c>
      <c r="B27" s="204" t="s">
        <v>831</v>
      </c>
      <c r="C27" s="205">
        <v>44654.0</v>
      </c>
      <c r="D27" s="206" t="s">
        <v>572</v>
      </c>
      <c r="E27" s="207" t="str">
        <f t="shared" si="2"/>
        <v>HCM 016</v>
      </c>
      <c r="F27" s="208" t="str">
        <f t="shared" si="3"/>
        <v>Lê Nguyễn Ngọc Phượng</v>
      </c>
      <c r="J27" s="209"/>
      <c r="K27" s="210" t="s">
        <v>703</v>
      </c>
      <c r="L27" s="210" t="str">
        <f t="shared" si="4"/>
        <v>Võ Minh Đạt</v>
      </c>
      <c r="M27" s="210" t="s">
        <v>829</v>
      </c>
      <c r="N27" s="210" t="s">
        <v>741</v>
      </c>
      <c r="P27" s="211" t="s">
        <v>829</v>
      </c>
      <c r="Q27" s="211" t="s">
        <v>832</v>
      </c>
      <c r="R27" s="211" t="s">
        <v>741</v>
      </c>
    </row>
    <row r="28">
      <c r="A28" s="203">
        <f t="shared" si="1"/>
        <v>27</v>
      </c>
      <c r="B28" s="204" t="s">
        <v>833</v>
      </c>
      <c r="C28" s="205" t="s">
        <v>834</v>
      </c>
      <c r="D28" s="206" t="s">
        <v>601</v>
      </c>
      <c r="E28" s="207" t="str">
        <f t="shared" si="2"/>
        <v>HCM 016</v>
      </c>
      <c r="F28" s="208" t="str">
        <f t="shared" si="3"/>
        <v>Lê Nguyễn Ngọc Phượng</v>
      </c>
      <c r="J28" s="209"/>
      <c r="K28" s="210" t="s">
        <v>468</v>
      </c>
      <c r="L28" s="210" t="str">
        <f t="shared" si="4"/>
        <v>Lê Nguyễn Ngọc Phượng</v>
      </c>
      <c r="M28" s="210" t="s">
        <v>827</v>
      </c>
      <c r="N28" s="210" t="s">
        <v>741</v>
      </c>
      <c r="P28" s="211" t="s">
        <v>835</v>
      </c>
      <c r="Q28" s="211" t="s">
        <v>836</v>
      </c>
      <c r="R28" s="211" t="s">
        <v>741</v>
      </c>
    </row>
    <row r="29">
      <c r="A29" s="203">
        <f t="shared" si="1"/>
        <v>28</v>
      </c>
      <c r="B29" s="204" t="s">
        <v>837</v>
      </c>
      <c r="C29" s="205" t="s">
        <v>838</v>
      </c>
      <c r="D29" s="206" t="s">
        <v>532</v>
      </c>
      <c r="E29" s="207" t="str">
        <f t="shared" si="2"/>
        <v>HCM 025</v>
      </c>
      <c r="F29" s="208" t="str">
        <f t="shared" si="3"/>
        <v>Đoàn Ngọc Thịnh</v>
      </c>
      <c r="J29" s="209"/>
      <c r="K29" s="210" t="s">
        <v>530</v>
      </c>
      <c r="L29" s="210" t="str">
        <f t="shared" si="4"/>
        <v>Đoàn Ngọc Thịnh</v>
      </c>
      <c r="M29" s="210" t="s">
        <v>826</v>
      </c>
      <c r="N29" s="210" t="s">
        <v>741</v>
      </c>
      <c r="P29" s="211" t="s">
        <v>839</v>
      </c>
      <c r="Q29" s="211" t="s">
        <v>840</v>
      </c>
      <c r="R29" s="211" t="s">
        <v>741</v>
      </c>
    </row>
    <row r="30">
      <c r="A30" s="203">
        <f t="shared" si="1"/>
        <v>29</v>
      </c>
      <c r="B30" s="204" t="s">
        <v>841</v>
      </c>
      <c r="C30" s="205" t="s">
        <v>842</v>
      </c>
      <c r="D30" s="206" t="s">
        <v>613</v>
      </c>
      <c r="E30" s="207" t="str">
        <f t="shared" si="2"/>
        <v>HCM 008</v>
      </c>
      <c r="F30" s="208" t="str">
        <f t="shared" si="3"/>
        <v>Lê Ngọc Thảo</v>
      </c>
      <c r="J30" s="209"/>
      <c r="K30" s="210" t="s">
        <v>531</v>
      </c>
      <c r="L30" s="210" t="str">
        <f t="shared" si="4"/>
        <v>Đoàn Ngọc Thịnh</v>
      </c>
      <c r="M30" s="210" t="s">
        <v>826</v>
      </c>
      <c r="N30" s="210" t="s">
        <v>741</v>
      </c>
      <c r="P30" s="211" t="s">
        <v>843</v>
      </c>
      <c r="Q30" s="211" t="s">
        <v>844</v>
      </c>
      <c r="R30" s="211" t="s">
        <v>741</v>
      </c>
    </row>
    <row r="31">
      <c r="A31" s="203">
        <f t="shared" si="1"/>
        <v>30</v>
      </c>
      <c r="B31" s="204" t="s">
        <v>845</v>
      </c>
      <c r="C31" s="205" t="s">
        <v>846</v>
      </c>
      <c r="D31" s="206" t="s">
        <v>594</v>
      </c>
      <c r="E31" s="207" t="str">
        <f t="shared" si="2"/>
        <v>HCM 008</v>
      </c>
      <c r="F31" s="208" t="str">
        <f t="shared" si="3"/>
        <v>Lê Ngọc Thảo</v>
      </c>
      <c r="J31" s="209"/>
      <c r="K31" s="210" t="s">
        <v>572</v>
      </c>
      <c r="L31" s="210" t="str">
        <f t="shared" si="4"/>
        <v>Lê Nguyễn Ngọc Phượng</v>
      </c>
      <c r="M31" s="210" t="s">
        <v>827</v>
      </c>
      <c r="N31" s="210" t="s">
        <v>741</v>
      </c>
      <c r="P31" s="211" t="s">
        <v>826</v>
      </c>
      <c r="Q31" s="211" t="s">
        <v>847</v>
      </c>
      <c r="R31" s="211" t="s">
        <v>741</v>
      </c>
    </row>
    <row r="32">
      <c r="A32" s="203">
        <f t="shared" si="1"/>
        <v>31</v>
      </c>
      <c r="B32" s="204" t="s">
        <v>848</v>
      </c>
      <c r="C32" s="205">
        <v>45568.0</v>
      </c>
      <c r="D32" s="206" t="s">
        <v>546</v>
      </c>
      <c r="E32" s="207" t="str">
        <f t="shared" si="2"/>
        <v>HCM 036</v>
      </c>
      <c r="F32" s="208" t="str">
        <f t="shared" si="3"/>
        <v>Đặng Đăng Khoa</v>
      </c>
      <c r="J32" s="209"/>
      <c r="K32" s="210" t="s">
        <v>714</v>
      </c>
      <c r="L32" s="210" t="str">
        <f t="shared" si="4"/>
        <v>Lê Nguyễn Ngọc Phượng</v>
      </c>
      <c r="M32" s="210" t="s">
        <v>827</v>
      </c>
      <c r="N32" s="210" t="s">
        <v>741</v>
      </c>
      <c r="P32" s="211" t="s">
        <v>849</v>
      </c>
      <c r="Q32" s="211" t="s">
        <v>850</v>
      </c>
      <c r="R32" s="211" t="s">
        <v>741</v>
      </c>
    </row>
    <row r="33">
      <c r="A33" s="203">
        <f t="shared" si="1"/>
        <v>32</v>
      </c>
      <c r="B33" s="204" t="s">
        <v>851</v>
      </c>
      <c r="C33" s="205" t="s">
        <v>852</v>
      </c>
      <c r="D33" s="206" t="s">
        <v>497</v>
      </c>
      <c r="E33" s="207" t="str">
        <f t="shared" si="2"/>
        <v>HCM 008</v>
      </c>
      <c r="F33" s="208" t="str">
        <f t="shared" si="3"/>
        <v>Lê Ngọc Thảo</v>
      </c>
      <c r="J33" s="209"/>
      <c r="K33" s="210" t="s">
        <v>601</v>
      </c>
      <c r="L33" s="210" t="str">
        <f t="shared" si="4"/>
        <v>Lê Nguyễn Ngọc Phượng</v>
      </c>
      <c r="M33" s="210" t="s">
        <v>827</v>
      </c>
      <c r="N33" s="210" t="s">
        <v>741</v>
      </c>
      <c r="P33" s="211" t="s">
        <v>740</v>
      </c>
      <c r="Q33" s="211" t="s">
        <v>853</v>
      </c>
      <c r="R33" s="211" t="s">
        <v>741</v>
      </c>
    </row>
    <row r="34">
      <c r="A34" s="203">
        <f t="shared" si="1"/>
        <v>33</v>
      </c>
      <c r="B34" s="204" t="s">
        <v>854</v>
      </c>
      <c r="C34" s="205">
        <v>44688.0</v>
      </c>
      <c r="D34" s="206" t="s">
        <v>500</v>
      </c>
      <c r="E34" s="207" t="str">
        <f t="shared" si="2"/>
        <v>HCM 033</v>
      </c>
      <c r="F34" s="208" t="str">
        <f t="shared" si="3"/>
        <v>Huỳnh Ngọc Phương</v>
      </c>
      <c r="J34" s="209"/>
      <c r="K34" s="210" t="s">
        <v>532</v>
      </c>
      <c r="L34" s="210" t="str">
        <f t="shared" si="4"/>
        <v>Đoàn Ngọc Thịnh</v>
      </c>
      <c r="M34" s="210" t="s">
        <v>826</v>
      </c>
      <c r="N34" s="210" t="s">
        <v>741</v>
      </c>
      <c r="P34" s="211" t="s">
        <v>855</v>
      </c>
      <c r="Q34" s="211" t="s">
        <v>856</v>
      </c>
      <c r="R34" s="211" t="s">
        <v>741</v>
      </c>
    </row>
    <row r="35">
      <c r="A35" s="203">
        <f t="shared" si="1"/>
        <v>34</v>
      </c>
      <c r="B35" s="204" t="s">
        <v>857</v>
      </c>
      <c r="C35" s="205" t="s">
        <v>858</v>
      </c>
      <c r="D35" s="206" t="s">
        <v>547</v>
      </c>
      <c r="E35" s="207" t="str">
        <f t="shared" si="2"/>
        <v>HCM 033</v>
      </c>
      <c r="F35" s="208" t="str">
        <f t="shared" si="3"/>
        <v>Huỳnh Ngọc Phương</v>
      </c>
      <c r="J35" s="209"/>
      <c r="K35" s="210" t="s">
        <v>613</v>
      </c>
      <c r="L35" s="210" t="str">
        <f t="shared" si="4"/>
        <v>Lê Ngọc Thảo</v>
      </c>
      <c r="M35" s="210" t="s">
        <v>821</v>
      </c>
      <c r="N35" s="210" t="s">
        <v>741</v>
      </c>
      <c r="P35" s="211" t="s">
        <v>859</v>
      </c>
      <c r="Q35" s="211" t="s">
        <v>860</v>
      </c>
      <c r="R35" s="211" t="s">
        <v>741</v>
      </c>
    </row>
    <row r="36">
      <c r="A36" s="203">
        <f t="shared" si="1"/>
        <v>35</v>
      </c>
      <c r="B36" s="204" t="s">
        <v>861</v>
      </c>
      <c r="C36" s="205" t="s">
        <v>862</v>
      </c>
      <c r="D36" s="206" t="s">
        <v>479</v>
      </c>
      <c r="E36" s="207" t="str">
        <f t="shared" si="2"/>
        <v>HCM 009</v>
      </c>
      <c r="F36" s="208" t="str">
        <f t="shared" si="3"/>
        <v>Lê Huỳnh Thiện</v>
      </c>
      <c r="J36" s="209"/>
      <c r="K36" s="210" t="s">
        <v>594</v>
      </c>
      <c r="L36" s="210" t="str">
        <f t="shared" si="4"/>
        <v>Lê Ngọc Thảo</v>
      </c>
      <c r="M36" s="210" t="s">
        <v>821</v>
      </c>
      <c r="N36" s="210" t="s">
        <v>741</v>
      </c>
      <c r="P36" s="211" t="s">
        <v>863</v>
      </c>
      <c r="Q36" s="211" t="s">
        <v>864</v>
      </c>
      <c r="R36" s="211" t="s">
        <v>741</v>
      </c>
    </row>
    <row r="37">
      <c r="A37" s="203">
        <f t="shared" si="1"/>
        <v>36</v>
      </c>
      <c r="B37" s="204" t="s">
        <v>865</v>
      </c>
      <c r="C37" s="205">
        <v>45786.0</v>
      </c>
      <c r="D37" s="206" t="s">
        <v>651</v>
      </c>
      <c r="E37" s="207" t="str">
        <f t="shared" si="2"/>
        <v>HCM 009</v>
      </c>
      <c r="F37" s="208" t="str">
        <f t="shared" si="3"/>
        <v>Lê Huỳnh Thiện</v>
      </c>
      <c r="J37" s="209"/>
      <c r="K37" s="210" t="s">
        <v>546</v>
      </c>
      <c r="L37" s="210" t="str">
        <f t="shared" si="4"/>
        <v>Đặng Đăng Khoa</v>
      </c>
      <c r="M37" s="210" t="s">
        <v>866</v>
      </c>
      <c r="N37" s="210" t="s">
        <v>741</v>
      </c>
      <c r="P37" s="211" t="s">
        <v>866</v>
      </c>
      <c r="Q37" s="211" t="s">
        <v>867</v>
      </c>
      <c r="R37" s="211" t="s">
        <v>741</v>
      </c>
    </row>
    <row r="38">
      <c r="A38" s="203">
        <f t="shared" si="1"/>
        <v>37</v>
      </c>
      <c r="B38" s="204" t="s">
        <v>123</v>
      </c>
      <c r="C38" s="205">
        <v>45820.0</v>
      </c>
      <c r="D38" s="206" t="s">
        <v>554</v>
      </c>
      <c r="E38" s="207" t="str">
        <f t="shared" si="2"/>
        <v>HCM 008</v>
      </c>
      <c r="F38" s="208" t="str">
        <f t="shared" si="3"/>
        <v>Lê Ngọc Thảo</v>
      </c>
      <c r="J38" s="209"/>
      <c r="K38" s="210" t="s">
        <v>497</v>
      </c>
      <c r="L38" s="210" t="str">
        <f t="shared" si="4"/>
        <v>Lê Ngọc Thảo</v>
      </c>
      <c r="M38" s="210" t="s">
        <v>821</v>
      </c>
      <c r="N38" s="210" t="s">
        <v>741</v>
      </c>
      <c r="P38" s="211"/>
      <c r="Q38" s="211"/>
      <c r="R38" s="211"/>
    </row>
    <row r="39">
      <c r="A39" s="203">
        <f t="shared" si="1"/>
        <v>38</v>
      </c>
      <c r="B39" s="204" t="s">
        <v>868</v>
      </c>
      <c r="C39" s="205" t="s">
        <v>869</v>
      </c>
      <c r="D39" s="206" t="s">
        <v>648</v>
      </c>
      <c r="E39" s="207" t="str">
        <f t="shared" si="2"/>
        <v>HCM 004</v>
      </c>
      <c r="F39" s="208" t="str">
        <f t="shared" si="3"/>
        <v>Trần Kim Phụng</v>
      </c>
      <c r="J39" s="209"/>
      <c r="K39" s="210" t="s">
        <v>500</v>
      </c>
      <c r="L39" s="210" t="str">
        <f t="shared" si="4"/>
        <v>Huỳnh Ngọc Phương</v>
      </c>
      <c r="M39" s="210" t="s">
        <v>855</v>
      </c>
      <c r="N39" s="210" t="s">
        <v>741</v>
      </c>
    </row>
    <row r="40">
      <c r="A40" s="203">
        <f t="shared" si="1"/>
        <v>39</v>
      </c>
      <c r="B40" s="204" t="s">
        <v>870</v>
      </c>
      <c r="C40" s="205">
        <v>45842.0</v>
      </c>
      <c r="D40" s="206" t="s">
        <v>649</v>
      </c>
      <c r="E40" s="207" t="str">
        <f t="shared" si="2"/>
        <v>HCM 004</v>
      </c>
      <c r="F40" s="208" t="str">
        <f t="shared" si="3"/>
        <v>Trần Kim Phụng</v>
      </c>
      <c r="J40" s="209"/>
      <c r="K40" s="210" t="s">
        <v>547</v>
      </c>
      <c r="L40" s="210" t="str">
        <f t="shared" si="4"/>
        <v>Huỳnh Ngọc Phương</v>
      </c>
      <c r="M40" s="210" t="s">
        <v>855</v>
      </c>
      <c r="N40" s="210" t="s">
        <v>741</v>
      </c>
    </row>
    <row r="41">
      <c r="A41" s="203">
        <f t="shared" si="1"/>
        <v>40</v>
      </c>
      <c r="B41" s="204" t="s">
        <v>871</v>
      </c>
      <c r="C41" s="205" t="s">
        <v>872</v>
      </c>
      <c r="D41" s="206" t="s">
        <v>430</v>
      </c>
      <c r="E41" s="207" t="str">
        <f t="shared" si="2"/>
        <v>HCM 023</v>
      </c>
      <c r="F41" s="208" t="str">
        <f t="shared" si="3"/>
        <v>Hứa Thái Hiển</v>
      </c>
      <c r="J41" s="209"/>
      <c r="K41" s="210" t="s">
        <v>479</v>
      </c>
      <c r="L41" s="210" t="str">
        <f t="shared" si="4"/>
        <v>Lê Huỳnh Thiện</v>
      </c>
      <c r="M41" s="210" t="s">
        <v>823</v>
      </c>
      <c r="N41" s="210" t="s">
        <v>741</v>
      </c>
    </row>
    <row r="42">
      <c r="A42" s="203">
        <f t="shared" si="1"/>
        <v>41</v>
      </c>
      <c r="B42" s="204" t="s">
        <v>873</v>
      </c>
      <c r="C42" s="205">
        <v>45605.0</v>
      </c>
      <c r="D42" s="206" t="s">
        <v>509</v>
      </c>
      <c r="E42" s="207" t="str">
        <f t="shared" si="2"/>
        <v>HCM 004</v>
      </c>
      <c r="F42" s="208" t="str">
        <f t="shared" si="3"/>
        <v>Trần Kim Phụng</v>
      </c>
      <c r="J42" s="209"/>
      <c r="K42" s="210" t="s">
        <v>651</v>
      </c>
      <c r="L42" s="210" t="str">
        <f t="shared" si="4"/>
        <v>Lê Huỳnh Thiện</v>
      </c>
      <c r="M42" s="210" t="s">
        <v>823</v>
      </c>
      <c r="N42" s="210" t="s">
        <v>741</v>
      </c>
    </row>
    <row r="43">
      <c r="A43" s="203">
        <f t="shared" si="1"/>
        <v>42</v>
      </c>
      <c r="B43" s="204" t="s">
        <v>292</v>
      </c>
      <c r="C43" s="205">
        <v>45905.0</v>
      </c>
      <c r="D43" s="206" t="s">
        <v>427</v>
      </c>
      <c r="E43" s="207" t="str">
        <f t="shared" si="2"/>
        <v>HCM 015</v>
      </c>
      <c r="F43" s="208" t="str">
        <f t="shared" si="3"/>
        <v>Trần Hữu Vinh</v>
      </c>
      <c r="J43" s="209"/>
      <c r="K43" s="210" t="s">
        <v>554</v>
      </c>
      <c r="L43" s="210" t="str">
        <f t="shared" si="4"/>
        <v>Lê Ngọc Thảo</v>
      </c>
      <c r="M43" s="210" t="s">
        <v>821</v>
      </c>
      <c r="N43" s="210" t="s">
        <v>741</v>
      </c>
    </row>
    <row r="44">
      <c r="A44" s="203">
        <f t="shared" si="1"/>
        <v>43</v>
      </c>
      <c r="B44" s="204" t="s">
        <v>874</v>
      </c>
      <c r="C44" s="205">
        <v>45877.0</v>
      </c>
      <c r="D44" s="206" t="s">
        <v>548</v>
      </c>
      <c r="E44" s="207" t="str">
        <f t="shared" si="2"/>
        <v>HCM 033</v>
      </c>
      <c r="F44" s="208" t="str">
        <f t="shared" si="3"/>
        <v>Huỳnh Ngọc Phương</v>
      </c>
      <c r="J44" s="209"/>
      <c r="K44" s="210" t="s">
        <v>648</v>
      </c>
      <c r="L44" s="210" t="str">
        <f t="shared" si="4"/>
        <v>Trần Kim Phụng</v>
      </c>
      <c r="M44" s="210" t="s">
        <v>755</v>
      </c>
      <c r="N44" s="210" t="s">
        <v>744</v>
      </c>
    </row>
    <row r="45">
      <c r="A45" s="203">
        <f t="shared" si="1"/>
        <v>44</v>
      </c>
      <c r="B45" s="204" t="s">
        <v>875</v>
      </c>
      <c r="C45" s="205" t="s">
        <v>876</v>
      </c>
      <c r="D45" s="206" t="s">
        <v>425</v>
      </c>
      <c r="E45" s="207" t="str">
        <f t="shared" si="2"/>
        <v>HCM 016</v>
      </c>
      <c r="F45" s="208" t="str">
        <f t="shared" si="3"/>
        <v>Lê Nguyễn Ngọc Phượng</v>
      </c>
      <c r="J45" s="209"/>
      <c r="K45" s="210" t="s">
        <v>649</v>
      </c>
      <c r="L45" s="210" t="str">
        <f t="shared" si="4"/>
        <v>Trần Kim Phụng</v>
      </c>
      <c r="M45" s="210" t="s">
        <v>755</v>
      </c>
      <c r="N45" s="210" t="s">
        <v>744</v>
      </c>
    </row>
    <row r="46">
      <c r="A46" s="203">
        <f t="shared" si="1"/>
        <v>45</v>
      </c>
      <c r="B46" s="204" t="s">
        <v>877</v>
      </c>
      <c r="C46" s="205" t="s">
        <v>878</v>
      </c>
      <c r="D46" s="206" t="s">
        <v>538</v>
      </c>
      <c r="E46" s="207" t="str">
        <f t="shared" si="2"/>
        <v>HCM 016</v>
      </c>
      <c r="F46" s="208" t="str">
        <f t="shared" si="3"/>
        <v>Lê Nguyễn Ngọc Phượng</v>
      </c>
      <c r="J46" s="209"/>
      <c r="K46" s="210" t="s">
        <v>430</v>
      </c>
      <c r="L46" s="210" t="str">
        <f t="shared" si="4"/>
        <v>Hứa Thái Hiển</v>
      </c>
      <c r="M46" s="210" t="s">
        <v>783</v>
      </c>
      <c r="N46" s="210" t="s">
        <v>744</v>
      </c>
    </row>
    <row r="47">
      <c r="A47" s="203">
        <f t="shared" si="1"/>
        <v>46</v>
      </c>
      <c r="B47" s="204" t="s">
        <v>114</v>
      </c>
      <c r="C47" s="205" t="s">
        <v>879</v>
      </c>
      <c r="D47" s="206" t="s">
        <v>639</v>
      </c>
      <c r="E47" s="207" t="str">
        <f t="shared" si="2"/>
        <v>HCM 032</v>
      </c>
      <c r="F47" s="208" t="str">
        <f t="shared" si="3"/>
        <v>Võ Thị Thùy Dương</v>
      </c>
      <c r="J47" s="209"/>
      <c r="K47" s="210" t="s">
        <v>692</v>
      </c>
      <c r="L47" s="210" t="str">
        <f t="shared" si="4"/>
        <v>Trần Kim Phụng</v>
      </c>
      <c r="M47" s="210" t="s">
        <v>755</v>
      </c>
      <c r="N47" s="210" t="s">
        <v>744</v>
      </c>
    </row>
    <row r="48">
      <c r="A48" s="203">
        <f t="shared" si="1"/>
        <v>47</v>
      </c>
      <c r="B48" s="204" t="s">
        <v>880</v>
      </c>
      <c r="C48" s="205" t="s">
        <v>881</v>
      </c>
      <c r="D48" s="206" t="s">
        <v>484</v>
      </c>
      <c r="E48" s="207" t="str">
        <f t="shared" si="2"/>
        <v>HCM 030</v>
      </c>
      <c r="F48" s="208" t="str">
        <f t="shared" si="3"/>
        <v>Trương Công Nhật Tùng</v>
      </c>
      <c r="J48" s="209"/>
      <c r="K48" s="210" t="s">
        <v>694</v>
      </c>
      <c r="L48" s="210" t="str">
        <f t="shared" si="4"/>
        <v>Trần Kim Phụng</v>
      </c>
      <c r="M48" s="210" t="s">
        <v>755</v>
      </c>
      <c r="N48" s="210" t="s">
        <v>744</v>
      </c>
    </row>
    <row r="49">
      <c r="A49" s="203">
        <f t="shared" si="1"/>
        <v>48</v>
      </c>
      <c r="B49" s="204" t="s">
        <v>93</v>
      </c>
      <c r="C49" s="205" t="s">
        <v>567</v>
      </c>
      <c r="D49" s="206" t="s">
        <v>637</v>
      </c>
      <c r="E49" s="207" t="str">
        <f t="shared" si="2"/>
        <v>HCM 029</v>
      </c>
      <c r="F49" s="208" t="str">
        <f t="shared" si="3"/>
        <v>Võ Văn Phi Hùng</v>
      </c>
      <c r="J49" s="209"/>
      <c r="K49" s="210" t="s">
        <v>696</v>
      </c>
      <c r="L49" s="210" t="str">
        <f t="shared" si="4"/>
        <v>Trần Kim Phụng</v>
      </c>
      <c r="M49" s="210" t="s">
        <v>755</v>
      </c>
      <c r="N49" s="210" t="s">
        <v>744</v>
      </c>
    </row>
    <row r="50">
      <c r="A50" s="203">
        <f t="shared" si="1"/>
        <v>49</v>
      </c>
      <c r="B50" s="204" t="s">
        <v>882</v>
      </c>
      <c r="C50" s="205" t="s">
        <v>883</v>
      </c>
      <c r="D50" s="206" t="s">
        <v>682</v>
      </c>
      <c r="E50" s="207" t="str">
        <f t="shared" si="2"/>
        <v>HCM 029</v>
      </c>
      <c r="F50" s="208" t="str">
        <f t="shared" si="3"/>
        <v>Võ Văn Phi Hùng</v>
      </c>
      <c r="J50" s="209"/>
      <c r="K50" s="210" t="s">
        <v>509</v>
      </c>
      <c r="L50" s="210" t="str">
        <f t="shared" si="4"/>
        <v>Trần Kim Phụng</v>
      </c>
      <c r="M50" s="210" t="s">
        <v>755</v>
      </c>
      <c r="N50" s="210" t="s">
        <v>744</v>
      </c>
    </row>
    <row r="51">
      <c r="A51" s="203">
        <f t="shared" si="1"/>
        <v>50</v>
      </c>
      <c r="B51" s="204" t="s">
        <v>884</v>
      </c>
      <c r="C51" s="205">
        <v>45177.0</v>
      </c>
      <c r="D51" s="206" t="s">
        <v>655</v>
      </c>
      <c r="E51" s="207" t="str">
        <f t="shared" si="2"/>
        <v>HCM 031</v>
      </c>
      <c r="F51" s="208" t="str">
        <f t="shared" si="3"/>
        <v>Nguyễn Thị Ngọc Giàu</v>
      </c>
      <c r="J51" s="209"/>
      <c r="K51" s="210" t="s">
        <v>427</v>
      </c>
      <c r="L51" s="210" t="str">
        <f t="shared" si="4"/>
        <v>Trần Hữu Vinh</v>
      </c>
      <c r="M51" s="210" t="s">
        <v>778</v>
      </c>
      <c r="N51" s="210" t="s">
        <v>744</v>
      </c>
    </row>
    <row r="52">
      <c r="A52" s="203">
        <f t="shared" si="1"/>
        <v>51</v>
      </c>
      <c r="B52" s="204" t="s">
        <v>885</v>
      </c>
      <c r="C52" s="205" t="s">
        <v>886</v>
      </c>
      <c r="D52" s="206" t="s">
        <v>665</v>
      </c>
      <c r="E52" s="207" t="str">
        <f t="shared" si="2"/>
        <v>HCM 023</v>
      </c>
      <c r="F52" s="208" t="str">
        <f t="shared" si="3"/>
        <v>Hứa Thái Hiển</v>
      </c>
      <c r="J52" s="209"/>
      <c r="K52" s="210" t="s">
        <v>548</v>
      </c>
      <c r="L52" s="210" t="str">
        <f t="shared" si="4"/>
        <v>Huỳnh Ngọc Phương</v>
      </c>
      <c r="M52" s="210" t="s">
        <v>855</v>
      </c>
      <c r="N52" s="210" t="s">
        <v>741</v>
      </c>
    </row>
    <row r="53">
      <c r="A53" s="203">
        <f t="shared" si="1"/>
        <v>52</v>
      </c>
      <c r="B53" s="204" t="s">
        <v>887</v>
      </c>
      <c r="C53" s="205">
        <v>44938.0</v>
      </c>
      <c r="D53" s="206" t="s">
        <v>615</v>
      </c>
      <c r="E53" s="207" t="str">
        <f t="shared" si="2"/>
        <v>HCM 003</v>
      </c>
      <c r="F53" s="208" t="str">
        <f t="shared" si="3"/>
        <v>Nguyễn Thuỷ Tiên</v>
      </c>
      <c r="J53" s="209"/>
      <c r="K53" s="210" t="s">
        <v>705</v>
      </c>
      <c r="L53" s="210" t="str">
        <f t="shared" si="4"/>
        <v>Võ Thị Thùy Dương</v>
      </c>
      <c r="M53" s="210" t="s">
        <v>806</v>
      </c>
      <c r="N53" s="210" t="s">
        <v>744</v>
      </c>
    </row>
    <row r="54">
      <c r="A54" s="203">
        <f t="shared" si="1"/>
        <v>53</v>
      </c>
      <c r="B54" s="204" t="s">
        <v>888</v>
      </c>
      <c r="C54" s="205" t="s">
        <v>889</v>
      </c>
      <c r="D54" s="206" t="s">
        <v>607</v>
      </c>
      <c r="E54" s="207" t="str">
        <f t="shared" si="2"/>
        <v>HCM 002</v>
      </c>
      <c r="F54" s="208" t="str">
        <f t="shared" si="3"/>
        <v>Huỳnh Thị Tuyết Nhi</v>
      </c>
      <c r="J54" s="209"/>
      <c r="K54" s="210" t="s">
        <v>425</v>
      </c>
      <c r="L54" s="210" t="str">
        <f t="shared" si="4"/>
        <v>Lê Nguyễn Ngọc Phượng</v>
      </c>
      <c r="M54" s="210" t="s">
        <v>827</v>
      </c>
      <c r="N54" s="210" t="s">
        <v>741</v>
      </c>
    </row>
    <row r="55">
      <c r="A55" s="203">
        <f t="shared" si="1"/>
        <v>54</v>
      </c>
      <c r="B55" s="204" t="s">
        <v>890</v>
      </c>
      <c r="C55" s="205">
        <v>46266.0</v>
      </c>
      <c r="D55" s="206" t="s">
        <v>563</v>
      </c>
      <c r="E55" s="207" t="str">
        <f t="shared" si="2"/>
        <v>HCM 024</v>
      </c>
      <c r="F55" s="208" t="str">
        <f t="shared" si="3"/>
        <v>Phạm Duy</v>
      </c>
      <c r="J55" s="209"/>
      <c r="K55" s="210" t="s">
        <v>706</v>
      </c>
      <c r="L55" s="210" t="str">
        <f t="shared" si="4"/>
        <v>Võ Thị Thùy Dương</v>
      </c>
      <c r="M55" s="210" t="s">
        <v>806</v>
      </c>
      <c r="N55" s="210" t="s">
        <v>744</v>
      </c>
    </row>
    <row r="56">
      <c r="A56" s="203">
        <f t="shared" si="1"/>
        <v>55</v>
      </c>
      <c r="B56" s="204" t="s">
        <v>891</v>
      </c>
      <c r="C56" s="205" t="s">
        <v>892</v>
      </c>
      <c r="D56" s="206" t="s">
        <v>519</v>
      </c>
      <c r="E56" s="207" t="str">
        <f t="shared" si="2"/>
        <v>HCM 023</v>
      </c>
      <c r="F56" s="208" t="str">
        <f t="shared" si="3"/>
        <v>Hứa Thái Hiển</v>
      </c>
      <c r="J56" s="209"/>
      <c r="K56" s="210" t="s">
        <v>528</v>
      </c>
      <c r="L56" s="210" t="str">
        <f t="shared" si="4"/>
        <v>Võ Thị Thùy Dương</v>
      </c>
      <c r="M56" s="210" t="s">
        <v>806</v>
      </c>
      <c r="N56" s="210" t="s">
        <v>744</v>
      </c>
    </row>
    <row r="57">
      <c r="A57" s="203">
        <f t="shared" si="1"/>
        <v>56</v>
      </c>
      <c r="B57" s="204" t="s">
        <v>893</v>
      </c>
      <c r="C57" s="205">
        <v>43435.0</v>
      </c>
      <c r="D57" s="206" t="s">
        <v>618</v>
      </c>
      <c r="E57" s="207" t="str">
        <f t="shared" si="2"/>
        <v>HCM 001</v>
      </c>
      <c r="F57" s="208" t="str">
        <f t="shared" si="3"/>
        <v>Nguyễn Minh Thắng</v>
      </c>
      <c r="J57" s="209"/>
      <c r="K57" s="210" t="s">
        <v>538</v>
      </c>
      <c r="L57" s="210" t="str">
        <f t="shared" si="4"/>
        <v>Lê Nguyễn Ngọc Phượng</v>
      </c>
      <c r="M57" s="210" t="s">
        <v>827</v>
      </c>
      <c r="N57" s="210" t="s">
        <v>741</v>
      </c>
    </row>
    <row r="58">
      <c r="A58" s="203">
        <f t="shared" si="1"/>
        <v>57</v>
      </c>
      <c r="B58" s="204" t="s">
        <v>894</v>
      </c>
      <c r="C58" s="205" t="s">
        <v>895</v>
      </c>
      <c r="D58" s="206" t="s">
        <v>536</v>
      </c>
      <c r="E58" s="207" t="str">
        <f t="shared" si="2"/>
        <v>HCM 002</v>
      </c>
      <c r="F58" s="208" t="str">
        <f t="shared" si="3"/>
        <v>Huỳnh Thị Tuyết Nhi</v>
      </c>
      <c r="J58" s="209"/>
      <c r="K58" s="210" t="s">
        <v>639</v>
      </c>
      <c r="L58" s="210" t="str">
        <f t="shared" si="4"/>
        <v>Võ Thị Thùy Dương</v>
      </c>
      <c r="M58" s="210" t="s">
        <v>806</v>
      </c>
      <c r="N58" s="210" t="s">
        <v>744</v>
      </c>
    </row>
    <row r="59">
      <c r="A59" s="203">
        <f t="shared" si="1"/>
        <v>58</v>
      </c>
      <c r="B59" s="204" t="s">
        <v>896</v>
      </c>
      <c r="C59" s="205" t="s">
        <v>897</v>
      </c>
      <c r="D59" s="206" t="s">
        <v>671</v>
      </c>
      <c r="E59" s="207" t="str">
        <f t="shared" si="2"/>
        <v>HCM 002</v>
      </c>
      <c r="F59" s="208" t="str">
        <f t="shared" si="3"/>
        <v>Huỳnh Thị Tuyết Nhi</v>
      </c>
      <c r="J59" s="209"/>
      <c r="K59" s="210" t="s">
        <v>484</v>
      </c>
      <c r="L59" s="210" t="str">
        <f t="shared" si="4"/>
        <v>Trương Công Nhật Tùng</v>
      </c>
      <c r="M59" s="210" t="s">
        <v>800</v>
      </c>
      <c r="N59" s="210" t="s">
        <v>744</v>
      </c>
    </row>
    <row r="60">
      <c r="A60" s="203">
        <f t="shared" si="1"/>
        <v>59</v>
      </c>
      <c r="B60" s="204" t="s">
        <v>898</v>
      </c>
      <c r="C60" s="205" t="s">
        <v>899</v>
      </c>
      <c r="D60" s="206" t="s">
        <v>590</v>
      </c>
      <c r="E60" s="207" t="str">
        <f t="shared" si="2"/>
        <v>HCM 003</v>
      </c>
      <c r="F60" s="208" t="str">
        <f t="shared" si="3"/>
        <v>Nguyễn Thuỷ Tiên</v>
      </c>
      <c r="J60" s="209"/>
      <c r="K60" s="210" t="s">
        <v>637</v>
      </c>
      <c r="L60" s="210" t="str">
        <f t="shared" si="4"/>
        <v>Võ Văn Phi Hùng</v>
      </c>
      <c r="M60" s="210" t="s">
        <v>795</v>
      </c>
      <c r="N60" s="210" t="s">
        <v>744</v>
      </c>
    </row>
    <row r="61">
      <c r="A61" s="203">
        <f t="shared" si="1"/>
        <v>60</v>
      </c>
      <c r="B61" s="204" t="s">
        <v>900</v>
      </c>
      <c r="C61" s="205" t="s">
        <v>901</v>
      </c>
      <c r="D61" s="206" t="s">
        <v>466</v>
      </c>
      <c r="E61" s="207" t="str">
        <f t="shared" si="2"/>
        <v>HCM 002</v>
      </c>
      <c r="F61" s="208" t="str">
        <f t="shared" si="3"/>
        <v>Huỳnh Thị Tuyết Nhi</v>
      </c>
      <c r="J61" s="209"/>
      <c r="K61" s="210" t="s">
        <v>682</v>
      </c>
      <c r="L61" s="210" t="str">
        <f t="shared" si="4"/>
        <v>Võ Văn Phi Hùng</v>
      </c>
      <c r="M61" s="210" t="s">
        <v>795</v>
      </c>
      <c r="N61" s="210" t="s">
        <v>744</v>
      </c>
    </row>
    <row r="62">
      <c r="A62" s="203">
        <f t="shared" si="1"/>
        <v>61</v>
      </c>
      <c r="B62" s="204" t="s">
        <v>902</v>
      </c>
      <c r="C62" s="205">
        <v>45387.0</v>
      </c>
      <c r="D62" s="206" t="s">
        <v>545</v>
      </c>
      <c r="E62" s="207" t="str">
        <f t="shared" si="2"/>
        <v>HCM 023</v>
      </c>
      <c r="F62" s="208" t="str">
        <f t="shared" si="3"/>
        <v>Hứa Thái Hiển</v>
      </c>
      <c r="J62" s="209"/>
      <c r="K62" s="210" t="s">
        <v>687</v>
      </c>
      <c r="L62" s="210" t="str">
        <f t="shared" si="4"/>
        <v>Võ Văn Phi Hùng</v>
      </c>
      <c r="M62" s="210" t="s">
        <v>795</v>
      </c>
      <c r="N62" s="210" t="s">
        <v>744</v>
      </c>
    </row>
    <row r="63">
      <c r="A63" s="203">
        <f t="shared" si="1"/>
        <v>62</v>
      </c>
      <c r="B63" s="204" t="s">
        <v>903</v>
      </c>
      <c r="C63" s="205" t="s">
        <v>904</v>
      </c>
      <c r="D63" s="206" t="s">
        <v>591</v>
      </c>
      <c r="E63" s="207" t="str">
        <f t="shared" si="2"/>
        <v>HCM 001</v>
      </c>
      <c r="F63" s="208" t="str">
        <f t="shared" si="3"/>
        <v>Nguyễn Minh Thắng</v>
      </c>
      <c r="J63" s="209"/>
      <c r="K63" s="210" t="s">
        <v>655</v>
      </c>
      <c r="L63" s="210" t="str">
        <f t="shared" si="4"/>
        <v>Nguyễn Thị Ngọc Giàu</v>
      </c>
      <c r="M63" s="210" t="s">
        <v>799</v>
      </c>
      <c r="N63" s="210" t="s">
        <v>744</v>
      </c>
    </row>
    <row r="64">
      <c r="A64" s="203">
        <f t="shared" si="1"/>
        <v>63</v>
      </c>
      <c r="B64" s="204" t="s">
        <v>905</v>
      </c>
      <c r="C64" s="205" t="s">
        <v>906</v>
      </c>
      <c r="D64" s="206" t="s">
        <v>507</v>
      </c>
      <c r="E64" s="207" t="str">
        <f t="shared" si="2"/>
        <v>HCM 030</v>
      </c>
      <c r="F64" s="208" t="str">
        <f t="shared" si="3"/>
        <v>Trương Công Nhật Tùng</v>
      </c>
      <c r="J64" s="209"/>
      <c r="K64" s="210" t="s">
        <v>712</v>
      </c>
      <c r="L64" s="210" t="str">
        <f t="shared" si="4"/>
        <v>Võ Văn Phi Hùng</v>
      </c>
      <c r="M64" s="210" t="s">
        <v>795</v>
      </c>
      <c r="N64" s="210" t="s">
        <v>744</v>
      </c>
    </row>
    <row r="65">
      <c r="A65" s="203">
        <f t="shared" si="1"/>
        <v>64</v>
      </c>
      <c r="B65" s="204" t="s">
        <v>907</v>
      </c>
      <c r="C65" s="205" t="s">
        <v>758</v>
      </c>
      <c r="D65" s="206" t="s">
        <v>630</v>
      </c>
      <c r="E65" s="207" t="str">
        <f t="shared" si="2"/>
        <v>HCM 024</v>
      </c>
      <c r="F65" s="208" t="str">
        <f t="shared" si="3"/>
        <v>Phạm Duy</v>
      </c>
      <c r="J65" s="209"/>
      <c r="K65" s="210" t="s">
        <v>665</v>
      </c>
      <c r="L65" s="210" t="str">
        <f t="shared" si="4"/>
        <v>Hứa Thái Hiển</v>
      </c>
      <c r="M65" s="210" t="s">
        <v>783</v>
      </c>
      <c r="N65" s="210" t="s">
        <v>744</v>
      </c>
    </row>
    <row r="66">
      <c r="A66" s="203">
        <f t="shared" si="1"/>
        <v>65</v>
      </c>
      <c r="B66" s="204" t="s">
        <v>908</v>
      </c>
      <c r="C66" s="205">
        <v>45386.0</v>
      </c>
      <c r="D66" s="206" t="s">
        <v>436</v>
      </c>
      <c r="E66" s="207" t="str">
        <f t="shared" si="2"/>
        <v>HCM 024</v>
      </c>
      <c r="F66" s="208" t="str">
        <f t="shared" si="3"/>
        <v>Phạm Duy</v>
      </c>
      <c r="J66" s="209"/>
      <c r="K66" s="210" t="s">
        <v>615</v>
      </c>
      <c r="L66" s="210" t="str">
        <f t="shared" si="4"/>
        <v>Nguyễn Thuỷ Tiên</v>
      </c>
      <c r="M66" s="210" t="s">
        <v>750</v>
      </c>
      <c r="N66" s="210" t="s">
        <v>744</v>
      </c>
    </row>
    <row r="67">
      <c r="A67" s="203">
        <f t="shared" si="1"/>
        <v>66</v>
      </c>
      <c r="B67" s="204" t="s">
        <v>909</v>
      </c>
      <c r="C67" s="205" t="s">
        <v>910</v>
      </c>
      <c r="D67" s="206" t="s">
        <v>477</v>
      </c>
      <c r="E67" s="207" t="str">
        <f t="shared" si="2"/>
        <v>HCM 024</v>
      </c>
      <c r="F67" s="208" t="str">
        <f t="shared" si="3"/>
        <v>Phạm Duy</v>
      </c>
      <c r="J67" s="209"/>
      <c r="K67" s="210" t="s">
        <v>699</v>
      </c>
      <c r="L67" s="210" t="str">
        <f t="shared" si="4"/>
        <v>Nguyễn Minh Thắng</v>
      </c>
      <c r="M67" s="210" t="s">
        <v>742</v>
      </c>
      <c r="N67" s="210" t="s">
        <v>744</v>
      </c>
    </row>
    <row r="68">
      <c r="A68" s="203">
        <f t="shared" si="1"/>
        <v>67</v>
      </c>
      <c r="B68" s="204" t="s">
        <v>911</v>
      </c>
      <c r="C68" s="205" t="s">
        <v>912</v>
      </c>
      <c r="D68" s="206" t="s">
        <v>592</v>
      </c>
      <c r="E68" s="207" t="str">
        <f t="shared" si="2"/>
        <v>HCM 001</v>
      </c>
      <c r="F68" s="208" t="str">
        <f t="shared" si="3"/>
        <v>Nguyễn Minh Thắng</v>
      </c>
      <c r="J68" s="209"/>
      <c r="K68" s="210" t="s">
        <v>607</v>
      </c>
      <c r="L68" s="210" t="str">
        <f t="shared" si="4"/>
        <v>Huỳnh Thị Tuyết Nhi</v>
      </c>
      <c r="M68" s="210" t="s">
        <v>747</v>
      </c>
      <c r="N68" s="210" t="s">
        <v>744</v>
      </c>
    </row>
    <row r="69">
      <c r="A69" s="203">
        <f t="shared" si="1"/>
        <v>68</v>
      </c>
      <c r="B69" s="204" t="s">
        <v>913</v>
      </c>
      <c r="C69" s="205">
        <v>45178.0</v>
      </c>
      <c r="D69" s="206" t="s">
        <v>672</v>
      </c>
      <c r="E69" s="207" t="str">
        <f t="shared" si="2"/>
        <v>HCM 002</v>
      </c>
      <c r="F69" s="208" t="str">
        <f t="shared" si="3"/>
        <v>Huỳnh Thị Tuyết Nhi</v>
      </c>
      <c r="J69" s="209"/>
      <c r="K69" s="210" t="s">
        <v>563</v>
      </c>
      <c r="L69" s="210" t="str">
        <f t="shared" si="4"/>
        <v>Phạm Duy</v>
      </c>
      <c r="M69" s="210" t="s">
        <v>787</v>
      </c>
      <c r="N69" s="210" t="s">
        <v>744</v>
      </c>
    </row>
    <row r="70">
      <c r="A70" s="203">
        <f t="shared" si="1"/>
        <v>69</v>
      </c>
      <c r="B70" s="204" t="s">
        <v>914</v>
      </c>
      <c r="C70" s="205" t="s">
        <v>772</v>
      </c>
      <c r="D70" s="206" t="s">
        <v>443</v>
      </c>
      <c r="E70" s="207" t="str">
        <f t="shared" si="2"/>
        <v>HCM 030</v>
      </c>
      <c r="F70" s="208" t="str">
        <f t="shared" si="3"/>
        <v>Trương Công Nhật Tùng</v>
      </c>
      <c r="J70" s="209"/>
      <c r="K70" s="210" t="s">
        <v>519</v>
      </c>
      <c r="L70" s="210" t="str">
        <f t="shared" si="4"/>
        <v>Hứa Thái Hiển</v>
      </c>
      <c r="M70" s="210" t="s">
        <v>783</v>
      </c>
      <c r="N70" s="210" t="s">
        <v>744</v>
      </c>
    </row>
    <row r="71">
      <c r="A71" s="203">
        <f t="shared" si="1"/>
        <v>70</v>
      </c>
      <c r="B71" s="204" t="s">
        <v>915</v>
      </c>
      <c r="C71" s="205">
        <v>45269.0</v>
      </c>
      <c r="D71" s="206" t="s">
        <v>517</v>
      </c>
      <c r="E71" s="207" t="str">
        <f t="shared" si="2"/>
        <v>HCM 010</v>
      </c>
      <c r="F71" s="208" t="str">
        <f t="shared" si="3"/>
        <v>Cao Chánh Tuấn</v>
      </c>
      <c r="J71" s="209"/>
      <c r="K71" s="210" t="s">
        <v>618</v>
      </c>
      <c r="L71" s="210" t="str">
        <f t="shared" si="4"/>
        <v>Nguyễn Minh Thắng</v>
      </c>
      <c r="M71" s="210" t="s">
        <v>742</v>
      </c>
      <c r="N71" s="210" t="s">
        <v>744</v>
      </c>
    </row>
    <row r="72">
      <c r="A72" s="203">
        <f t="shared" si="1"/>
        <v>71</v>
      </c>
      <c r="B72" s="204" t="s">
        <v>916</v>
      </c>
      <c r="C72" s="205" t="s">
        <v>917</v>
      </c>
      <c r="D72" s="206" t="s">
        <v>502</v>
      </c>
      <c r="E72" s="207" t="str">
        <f t="shared" si="2"/>
        <v>HCM 011</v>
      </c>
      <c r="F72" s="208" t="str">
        <f t="shared" si="3"/>
        <v>Nguyễn Thị Tuyết Trinh</v>
      </c>
      <c r="J72" s="209"/>
      <c r="K72" s="210" t="s">
        <v>536</v>
      </c>
      <c r="L72" s="210" t="str">
        <f t="shared" si="4"/>
        <v>Huỳnh Thị Tuyết Nhi</v>
      </c>
      <c r="M72" s="210" t="s">
        <v>747</v>
      </c>
      <c r="N72" s="210" t="s">
        <v>744</v>
      </c>
    </row>
    <row r="73">
      <c r="A73" s="203">
        <f t="shared" si="1"/>
        <v>72</v>
      </c>
      <c r="B73" s="204" t="s">
        <v>337</v>
      </c>
      <c r="C73" s="205">
        <v>45933.0</v>
      </c>
      <c r="D73" s="206" t="s">
        <v>518</v>
      </c>
      <c r="E73" s="207" t="str">
        <f t="shared" si="2"/>
        <v>HCM 010</v>
      </c>
      <c r="F73" s="208" t="str">
        <f t="shared" si="3"/>
        <v>Cao Chánh Tuấn</v>
      </c>
      <c r="J73" s="209"/>
      <c r="K73" s="210" t="s">
        <v>671</v>
      </c>
      <c r="L73" s="210" t="str">
        <f t="shared" si="4"/>
        <v>Huỳnh Thị Tuyết Nhi</v>
      </c>
      <c r="M73" s="210" t="s">
        <v>747</v>
      </c>
      <c r="N73" s="210" t="s">
        <v>744</v>
      </c>
    </row>
    <row r="74">
      <c r="A74" s="203">
        <f t="shared" si="1"/>
        <v>73</v>
      </c>
      <c r="B74" s="204" t="s">
        <v>918</v>
      </c>
      <c r="C74" s="205" t="s">
        <v>753</v>
      </c>
      <c r="D74" s="206" t="s">
        <v>482</v>
      </c>
      <c r="E74" s="207" t="str">
        <f t="shared" si="2"/>
        <v>HCM 011</v>
      </c>
      <c r="F74" s="208" t="str">
        <f t="shared" si="3"/>
        <v>Nguyễn Thị Tuyết Trinh</v>
      </c>
      <c r="J74" s="209"/>
      <c r="K74" s="210" t="s">
        <v>590</v>
      </c>
      <c r="L74" s="210" t="str">
        <f t="shared" si="4"/>
        <v>Nguyễn Thuỷ Tiên</v>
      </c>
      <c r="M74" s="210" t="s">
        <v>750</v>
      </c>
      <c r="N74" s="210" t="s">
        <v>744</v>
      </c>
    </row>
    <row r="75">
      <c r="A75" s="203">
        <f t="shared" si="1"/>
        <v>74</v>
      </c>
      <c r="B75" s="204" t="s">
        <v>919</v>
      </c>
      <c r="C75" s="205">
        <v>44779.0</v>
      </c>
      <c r="D75" s="206" t="s">
        <v>622</v>
      </c>
      <c r="E75" s="207" t="str">
        <f t="shared" si="2"/>
        <v>HCM 005</v>
      </c>
      <c r="F75" s="208" t="str">
        <f t="shared" si="3"/>
        <v>Nguyễn Thị Ngọc Bích</v>
      </c>
      <c r="J75" s="209"/>
      <c r="K75" s="210" t="s">
        <v>466</v>
      </c>
      <c r="L75" s="210" t="str">
        <f t="shared" si="4"/>
        <v>Huỳnh Thị Tuyết Nhi</v>
      </c>
      <c r="M75" s="210" t="s">
        <v>747</v>
      </c>
      <c r="N75" s="210" t="s">
        <v>744</v>
      </c>
    </row>
    <row r="76">
      <c r="A76" s="203">
        <f t="shared" si="1"/>
        <v>75</v>
      </c>
      <c r="B76" s="208" t="s">
        <v>82</v>
      </c>
      <c r="C76" s="205">
        <v>45726.0</v>
      </c>
      <c r="D76" s="206" t="s">
        <v>522</v>
      </c>
      <c r="E76" s="207" t="str">
        <f t="shared" si="2"/>
        <v>HCM 030</v>
      </c>
      <c r="F76" s="208" t="str">
        <f t="shared" si="3"/>
        <v>Trương Công Nhật Tùng</v>
      </c>
      <c r="J76" s="209"/>
      <c r="K76" s="210" t="s">
        <v>495</v>
      </c>
      <c r="L76" s="210" t="str">
        <f t="shared" si="4"/>
        <v>Hứa Thái Hiển</v>
      </c>
      <c r="M76" s="210" t="s">
        <v>783</v>
      </c>
      <c r="N76" s="210" t="s">
        <v>744</v>
      </c>
    </row>
    <row r="77">
      <c r="A77" s="203">
        <f t="shared" si="1"/>
        <v>76</v>
      </c>
      <c r="B77" s="204" t="s">
        <v>920</v>
      </c>
      <c r="C77" s="205">
        <v>45665.0</v>
      </c>
      <c r="D77" s="206" t="s">
        <v>533</v>
      </c>
      <c r="E77" s="207" t="str">
        <f t="shared" si="2"/>
        <v>HCM 032</v>
      </c>
      <c r="F77" s="208" t="str">
        <f t="shared" si="3"/>
        <v>Võ Thị Thùy Dương</v>
      </c>
      <c r="J77" s="209"/>
      <c r="K77" s="210" t="s">
        <v>545</v>
      </c>
      <c r="L77" s="210" t="str">
        <f t="shared" si="4"/>
        <v>Hứa Thái Hiển</v>
      </c>
      <c r="M77" s="210" t="s">
        <v>783</v>
      </c>
      <c r="N77" s="210" t="s">
        <v>744</v>
      </c>
    </row>
    <row r="78">
      <c r="A78" s="203">
        <f t="shared" si="1"/>
        <v>77</v>
      </c>
      <c r="B78" s="204" t="s">
        <v>921</v>
      </c>
      <c r="C78" s="205" t="s">
        <v>922</v>
      </c>
      <c r="D78" s="206" t="s">
        <v>668</v>
      </c>
      <c r="E78" s="207" t="str">
        <f t="shared" si="2"/>
        <v>HCM 013</v>
      </c>
      <c r="F78" s="208" t="str">
        <f t="shared" si="3"/>
        <v>Trần Huỳnh Thơ</v>
      </c>
      <c r="J78" s="209"/>
      <c r="K78" s="210" t="s">
        <v>565</v>
      </c>
      <c r="L78" s="210" t="str">
        <f t="shared" si="4"/>
        <v>Nguyễn Thuỷ Tiên</v>
      </c>
      <c r="M78" s="210" t="s">
        <v>750</v>
      </c>
      <c r="N78" s="210" t="s">
        <v>744</v>
      </c>
    </row>
    <row r="79">
      <c r="A79" s="203">
        <f t="shared" si="1"/>
        <v>78</v>
      </c>
      <c r="B79" s="204" t="s">
        <v>112</v>
      </c>
      <c r="C79" s="205">
        <v>45968.0</v>
      </c>
      <c r="D79" s="206" t="s">
        <v>644</v>
      </c>
      <c r="E79" s="207" t="str">
        <f t="shared" si="2"/>
        <v>HCM 013</v>
      </c>
      <c r="F79" s="208" t="str">
        <f t="shared" si="3"/>
        <v>Trần Huỳnh Thơ</v>
      </c>
      <c r="J79" s="209"/>
      <c r="K79" s="210" t="s">
        <v>685</v>
      </c>
      <c r="L79" s="210" t="str">
        <f t="shared" si="4"/>
        <v>Phạm Duy</v>
      </c>
      <c r="M79" s="210" t="s">
        <v>787</v>
      </c>
      <c r="N79" s="210" t="s">
        <v>744</v>
      </c>
    </row>
    <row r="80">
      <c r="A80" s="203">
        <f t="shared" si="1"/>
        <v>79</v>
      </c>
      <c r="B80" s="204" t="s">
        <v>923</v>
      </c>
      <c r="C80" s="205" t="s">
        <v>924</v>
      </c>
      <c r="D80" s="206" t="s">
        <v>678</v>
      </c>
      <c r="E80" s="207" t="str">
        <f t="shared" si="2"/>
        <v>HCM 013</v>
      </c>
      <c r="F80" s="208" t="str">
        <f t="shared" si="3"/>
        <v>Trần Huỳnh Thơ</v>
      </c>
      <c r="J80" s="209"/>
      <c r="K80" s="210" t="s">
        <v>591</v>
      </c>
      <c r="L80" s="210" t="str">
        <f t="shared" si="4"/>
        <v>Nguyễn Minh Thắng</v>
      </c>
      <c r="M80" s="210" t="s">
        <v>742</v>
      </c>
      <c r="N80" s="210" t="s">
        <v>744</v>
      </c>
    </row>
    <row r="81">
      <c r="A81" s="203">
        <f t="shared" si="1"/>
        <v>80</v>
      </c>
      <c r="B81" s="204" t="s">
        <v>90</v>
      </c>
      <c r="C81" s="205">
        <v>45912.0</v>
      </c>
      <c r="D81" s="206" t="s">
        <v>441</v>
      </c>
      <c r="E81" s="207" t="str">
        <f t="shared" si="2"/>
        <v>HCM 032</v>
      </c>
      <c r="F81" s="208" t="str">
        <f t="shared" si="3"/>
        <v>Võ Thị Thùy Dương</v>
      </c>
      <c r="J81" s="209"/>
      <c r="K81" s="210" t="s">
        <v>686</v>
      </c>
      <c r="L81" s="210" t="str">
        <f t="shared" si="4"/>
        <v>Nguyễn Thuỷ Tiên</v>
      </c>
      <c r="M81" s="210" t="s">
        <v>750</v>
      </c>
      <c r="N81" s="210" t="s">
        <v>744</v>
      </c>
    </row>
    <row r="82">
      <c r="A82" s="203">
        <f t="shared" si="1"/>
        <v>81</v>
      </c>
      <c r="B82" s="204" t="s">
        <v>925</v>
      </c>
      <c r="C82" s="205">
        <v>45078.0</v>
      </c>
      <c r="D82" s="206" t="s">
        <v>457</v>
      </c>
      <c r="E82" s="207" t="str">
        <f t="shared" si="2"/>
        <v>HCM 036</v>
      </c>
      <c r="F82" s="208" t="str">
        <f t="shared" si="3"/>
        <v>Đặng Đăng Khoa</v>
      </c>
      <c r="J82" s="209"/>
      <c r="K82" s="210" t="s">
        <v>507</v>
      </c>
      <c r="L82" s="210" t="str">
        <f t="shared" si="4"/>
        <v>Trương Công Nhật Tùng</v>
      </c>
      <c r="M82" s="210" t="s">
        <v>800</v>
      </c>
      <c r="N82" s="210" t="s">
        <v>744</v>
      </c>
    </row>
    <row r="83">
      <c r="A83" s="203">
        <f t="shared" si="1"/>
        <v>82</v>
      </c>
      <c r="B83" s="208" t="s">
        <v>99</v>
      </c>
      <c r="C83" s="205" t="e">
        <v>#N/A</v>
      </c>
      <c r="D83" s="206" t="s">
        <v>568</v>
      </c>
      <c r="E83" s="207" t="str">
        <f t="shared" si="2"/>
        <v>HCM 036</v>
      </c>
      <c r="F83" s="208" t="str">
        <f t="shared" si="3"/>
        <v>Đặng Đăng Khoa</v>
      </c>
      <c r="J83" s="209"/>
      <c r="K83" s="210" t="s">
        <v>701</v>
      </c>
      <c r="L83" s="210" t="str">
        <f t="shared" si="4"/>
        <v>Nguyễn Minh Thắng</v>
      </c>
      <c r="M83" s="210" t="s">
        <v>742</v>
      </c>
      <c r="N83" s="210" t="s">
        <v>744</v>
      </c>
    </row>
    <row r="84">
      <c r="A84" s="203">
        <f t="shared" si="1"/>
        <v>83</v>
      </c>
      <c r="B84" s="204" t="s">
        <v>926</v>
      </c>
      <c r="C84" s="205" t="s">
        <v>746</v>
      </c>
      <c r="D84" s="206" t="s">
        <v>600</v>
      </c>
      <c r="E84" s="207" t="str">
        <f t="shared" si="2"/>
        <v>HCM 009</v>
      </c>
      <c r="F84" s="208" t="str">
        <f t="shared" si="3"/>
        <v>Lê Huỳnh Thiện</v>
      </c>
      <c r="J84" s="209"/>
      <c r="K84" s="210" t="s">
        <v>630</v>
      </c>
      <c r="L84" s="210" t="str">
        <f t="shared" si="4"/>
        <v>Phạm Duy</v>
      </c>
      <c r="M84" s="210" t="s">
        <v>787</v>
      </c>
      <c r="N84" s="210" t="s">
        <v>744</v>
      </c>
    </row>
    <row r="85">
      <c r="A85" s="203">
        <f t="shared" si="1"/>
        <v>84</v>
      </c>
      <c r="B85" s="204" t="s">
        <v>927</v>
      </c>
      <c r="C85" s="205" t="s">
        <v>904</v>
      </c>
      <c r="D85" s="206" t="s">
        <v>503</v>
      </c>
      <c r="E85" s="207" t="str">
        <f t="shared" si="2"/>
        <v>HCM 036</v>
      </c>
      <c r="F85" s="208" t="str">
        <f t="shared" si="3"/>
        <v>Đặng Đăng Khoa</v>
      </c>
      <c r="J85" s="209"/>
      <c r="K85" s="210" t="s">
        <v>436</v>
      </c>
      <c r="L85" s="210" t="str">
        <f t="shared" si="4"/>
        <v>Phạm Duy</v>
      </c>
      <c r="M85" s="210" t="s">
        <v>787</v>
      </c>
      <c r="N85" s="210" t="s">
        <v>744</v>
      </c>
    </row>
    <row r="86">
      <c r="A86" s="203">
        <f t="shared" si="1"/>
        <v>85</v>
      </c>
      <c r="B86" s="204" t="s">
        <v>928</v>
      </c>
      <c r="C86" s="205" t="s">
        <v>929</v>
      </c>
      <c r="D86" s="206" t="s">
        <v>593</v>
      </c>
      <c r="E86" s="207" t="str">
        <f t="shared" si="2"/>
        <v>HCM 003</v>
      </c>
      <c r="F86" s="208" t="str">
        <f t="shared" si="3"/>
        <v>Nguyễn Thuỷ Tiên</v>
      </c>
      <c r="J86" s="209"/>
      <c r="K86" s="210" t="s">
        <v>477</v>
      </c>
      <c r="L86" s="210" t="str">
        <f t="shared" si="4"/>
        <v>Phạm Duy</v>
      </c>
      <c r="M86" s="210" t="s">
        <v>787</v>
      </c>
      <c r="N86" s="210" t="s">
        <v>744</v>
      </c>
    </row>
    <row r="87">
      <c r="A87" s="203">
        <f t="shared" si="1"/>
        <v>86</v>
      </c>
      <c r="B87" s="204" t="s">
        <v>930</v>
      </c>
      <c r="C87" s="205">
        <v>46266.0</v>
      </c>
      <c r="D87" s="206" t="s">
        <v>640</v>
      </c>
      <c r="E87" s="207" t="str">
        <f t="shared" si="2"/>
        <v>HCM 015</v>
      </c>
      <c r="F87" s="208" t="str">
        <f t="shared" si="3"/>
        <v>Trần Hữu Vinh</v>
      </c>
      <c r="J87" s="209"/>
      <c r="K87" s="210" t="s">
        <v>592</v>
      </c>
      <c r="L87" s="210" t="str">
        <f t="shared" si="4"/>
        <v>Nguyễn Minh Thắng</v>
      </c>
      <c r="M87" s="210" t="s">
        <v>742</v>
      </c>
      <c r="N87" s="210" t="s">
        <v>744</v>
      </c>
    </row>
    <row r="88">
      <c r="A88" s="203">
        <f t="shared" si="1"/>
        <v>87</v>
      </c>
      <c r="B88" s="204" t="s">
        <v>931</v>
      </c>
      <c r="C88" s="205" t="s">
        <v>932</v>
      </c>
      <c r="D88" s="206" t="s">
        <v>596</v>
      </c>
      <c r="E88" s="207" t="str">
        <f t="shared" si="2"/>
        <v>HCM 015</v>
      </c>
      <c r="F88" s="208" t="str">
        <f t="shared" si="3"/>
        <v>Trần Hữu Vinh</v>
      </c>
      <c r="J88" s="209"/>
      <c r="K88" s="210" t="s">
        <v>672</v>
      </c>
      <c r="L88" s="210" t="str">
        <f t="shared" si="4"/>
        <v>Huỳnh Thị Tuyết Nhi</v>
      </c>
      <c r="M88" s="210" t="s">
        <v>747</v>
      </c>
      <c r="N88" s="210" t="s">
        <v>744</v>
      </c>
    </row>
    <row r="89">
      <c r="A89" s="203">
        <f t="shared" si="1"/>
        <v>88</v>
      </c>
      <c r="B89" s="204" t="s">
        <v>933</v>
      </c>
      <c r="C89" s="205">
        <v>44114.0</v>
      </c>
      <c r="D89" s="206" t="s">
        <v>551</v>
      </c>
      <c r="E89" s="207" t="str">
        <f t="shared" si="2"/>
        <v>HCM 015</v>
      </c>
      <c r="F89" s="208" t="str">
        <f t="shared" si="3"/>
        <v>Trần Hữu Vinh</v>
      </c>
      <c r="J89" s="209"/>
      <c r="K89" s="210" t="s">
        <v>443</v>
      </c>
      <c r="L89" s="210" t="str">
        <f t="shared" si="4"/>
        <v>Trương Công Nhật Tùng</v>
      </c>
      <c r="M89" s="210" t="s">
        <v>800</v>
      </c>
      <c r="N89" s="210" t="s">
        <v>744</v>
      </c>
    </row>
    <row r="90">
      <c r="A90" s="203">
        <f t="shared" si="1"/>
        <v>89</v>
      </c>
      <c r="B90" s="204" t="s">
        <v>934</v>
      </c>
      <c r="C90" s="205" t="s">
        <v>935</v>
      </c>
      <c r="D90" s="206" t="s">
        <v>641</v>
      </c>
      <c r="E90" s="207" t="str">
        <f t="shared" si="2"/>
        <v>HCM 015</v>
      </c>
      <c r="F90" s="208" t="str">
        <f t="shared" si="3"/>
        <v>Trần Hữu Vinh</v>
      </c>
      <c r="J90" s="209"/>
      <c r="K90" s="210" t="s">
        <v>517</v>
      </c>
      <c r="L90" s="210" t="str">
        <f t="shared" si="4"/>
        <v>Cao Chánh Tuấn</v>
      </c>
      <c r="M90" s="210" t="s">
        <v>759</v>
      </c>
      <c r="N90" s="210" t="s">
        <v>744</v>
      </c>
    </row>
    <row r="91">
      <c r="A91" s="203">
        <f t="shared" si="1"/>
        <v>90</v>
      </c>
      <c r="B91" s="204" t="s">
        <v>936</v>
      </c>
      <c r="C91" s="205" t="s">
        <v>922</v>
      </c>
      <c r="D91" s="206" t="s">
        <v>561</v>
      </c>
      <c r="E91" s="207" t="str">
        <f t="shared" si="2"/>
        <v>HCM 013</v>
      </c>
      <c r="F91" s="208" t="str">
        <f t="shared" si="3"/>
        <v>Trần Huỳnh Thơ</v>
      </c>
      <c r="J91" s="209"/>
      <c r="K91" s="210" t="s">
        <v>502</v>
      </c>
      <c r="L91" s="210" t="str">
        <f t="shared" si="4"/>
        <v>Nguyễn Thị Tuyết Trinh</v>
      </c>
      <c r="M91" s="210" t="s">
        <v>761</v>
      </c>
      <c r="N91" s="210" t="s">
        <v>744</v>
      </c>
    </row>
    <row r="92">
      <c r="A92" s="203">
        <f t="shared" si="1"/>
        <v>91</v>
      </c>
      <c r="B92" s="204" t="s">
        <v>937</v>
      </c>
      <c r="C92" s="205" t="s">
        <v>895</v>
      </c>
      <c r="D92" s="206" t="s">
        <v>521</v>
      </c>
      <c r="E92" s="207" t="str">
        <f t="shared" si="2"/>
        <v>HCM 033</v>
      </c>
      <c r="F92" s="208" t="str">
        <f t="shared" si="3"/>
        <v>Huỳnh Ngọc Phương</v>
      </c>
      <c r="J92" s="209"/>
      <c r="K92" s="210" t="s">
        <v>518</v>
      </c>
      <c r="L92" s="210" t="str">
        <f t="shared" si="4"/>
        <v>Cao Chánh Tuấn</v>
      </c>
      <c r="M92" s="210" t="s">
        <v>759</v>
      </c>
      <c r="N92" s="210" t="s">
        <v>744</v>
      </c>
    </row>
    <row r="93">
      <c r="A93" s="203">
        <f t="shared" si="1"/>
        <v>92</v>
      </c>
      <c r="B93" s="204" t="s">
        <v>938</v>
      </c>
      <c r="C93" s="205" t="s">
        <v>939</v>
      </c>
      <c r="D93" s="206" t="s">
        <v>552</v>
      </c>
      <c r="E93" s="207" t="str">
        <f t="shared" si="2"/>
        <v>HCM 028</v>
      </c>
      <c r="F93" s="208" t="str">
        <f t="shared" si="3"/>
        <v>Lâm Văn Tú</v>
      </c>
      <c r="J93" s="209"/>
      <c r="K93" s="210" t="s">
        <v>663</v>
      </c>
      <c r="L93" s="210" t="str">
        <f t="shared" si="4"/>
        <v>Hồng Trọng Nghĩa</v>
      </c>
      <c r="M93" s="210" t="s">
        <v>777</v>
      </c>
      <c r="N93" s="210" t="s">
        <v>744</v>
      </c>
    </row>
    <row r="94">
      <c r="A94" s="203">
        <f t="shared" si="1"/>
        <v>93</v>
      </c>
      <c r="B94" s="204" t="s">
        <v>940</v>
      </c>
      <c r="C94" s="205">
        <v>45577.0</v>
      </c>
      <c r="D94" s="206" t="s">
        <v>505</v>
      </c>
      <c r="E94" s="207" t="str">
        <f t="shared" si="2"/>
        <v>HCM 018</v>
      </c>
      <c r="F94" s="208" t="str">
        <f t="shared" si="3"/>
        <v>Võ Minh Đạt</v>
      </c>
      <c r="J94" s="209"/>
      <c r="K94" s="210" t="s">
        <v>482</v>
      </c>
      <c r="L94" s="210" t="str">
        <f t="shared" si="4"/>
        <v>Nguyễn Thị Tuyết Trinh</v>
      </c>
      <c r="M94" s="210" t="s">
        <v>761</v>
      </c>
      <c r="N94" s="210" t="s">
        <v>744</v>
      </c>
    </row>
    <row r="95">
      <c r="A95" s="203">
        <f t="shared" si="1"/>
        <v>94</v>
      </c>
      <c r="B95" s="204" t="s">
        <v>941</v>
      </c>
      <c r="C95" s="205" t="s">
        <v>942</v>
      </c>
      <c r="D95" s="206" t="s">
        <v>576</v>
      </c>
      <c r="E95" s="207" t="str">
        <f t="shared" si="2"/>
        <v>HCM 021</v>
      </c>
      <c r="F95" s="208" t="str">
        <f t="shared" si="3"/>
        <v>Hồ Xuân Thịnh</v>
      </c>
      <c r="J95" s="209"/>
      <c r="K95" s="210" t="s">
        <v>622</v>
      </c>
      <c r="L95" s="210" t="str">
        <f t="shared" si="4"/>
        <v>Nguyễn Thị Ngọc Bích</v>
      </c>
      <c r="M95" s="210" t="s">
        <v>810</v>
      </c>
      <c r="N95" s="210" t="s">
        <v>741</v>
      </c>
    </row>
    <row r="96">
      <c r="A96" s="203">
        <f t="shared" si="1"/>
        <v>95</v>
      </c>
      <c r="B96" s="204" t="s">
        <v>943</v>
      </c>
      <c r="C96" s="205" t="s">
        <v>944</v>
      </c>
      <c r="D96" s="206" t="s">
        <v>653</v>
      </c>
      <c r="E96" s="207" t="str">
        <f t="shared" si="2"/>
        <v>HCM 026</v>
      </c>
      <c r="F96" s="208" t="str">
        <f t="shared" si="3"/>
        <v>Trần Tiến Thạnh</v>
      </c>
      <c r="J96" s="209"/>
      <c r="K96" s="210" t="s">
        <v>522</v>
      </c>
      <c r="L96" s="210" t="str">
        <f t="shared" si="4"/>
        <v>Trương Công Nhật Tùng</v>
      </c>
      <c r="M96" s="210" t="s">
        <v>800</v>
      </c>
      <c r="N96" s="210" t="s">
        <v>744</v>
      </c>
    </row>
    <row r="97">
      <c r="A97" s="203">
        <f t="shared" si="1"/>
        <v>96</v>
      </c>
      <c r="B97" s="204" t="s">
        <v>945</v>
      </c>
      <c r="C97" s="205">
        <v>45780.0</v>
      </c>
      <c r="D97" s="206" t="s">
        <v>631</v>
      </c>
      <c r="E97" s="207" t="str">
        <f t="shared" si="2"/>
        <v>HCM 020</v>
      </c>
      <c r="F97" s="208" t="str">
        <f t="shared" si="3"/>
        <v>Phạm Hữu Chương</v>
      </c>
      <c r="J97" s="209"/>
      <c r="K97" s="210" t="s">
        <v>533</v>
      </c>
      <c r="L97" s="210" t="str">
        <f t="shared" si="4"/>
        <v>Võ Thị Thùy Dương</v>
      </c>
      <c r="M97" s="210" t="s">
        <v>806</v>
      </c>
      <c r="N97" s="210" t="s">
        <v>744</v>
      </c>
    </row>
    <row r="98">
      <c r="A98" s="203">
        <f t="shared" si="1"/>
        <v>97</v>
      </c>
      <c r="B98" s="204" t="s">
        <v>946</v>
      </c>
      <c r="C98" s="205">
        <v>45870.0</v>
      </c>
      <c r="D98" s="206" t="s">
        <v>583</v>
      </c>
      <c r="E98" s="207" t="str">
        <f t="shared" si="2"/>
        <v>HCM 006</v>
      </c>
      <c r="F98" s="208" t="str">
        <f t="shared" si="3"/>
        <v>Nguyễn Đình Vũ</v>
      </c>
      <c r="J98" s="209"/>
      <c r="K98" s="210" t="s">
        <v>668</v>
      </c>
      <c r="L98" s="210" t="str">
        <f t="shared" si="4"/>
        <v>Trần Huỳnh Thơ</v>
      </c>
      <c r="M98" s="210" t="s">
        <v>769</v>
      </c>
      <c r="N98" s="210" t="s">
        <v>744</v>
      </c>
    </row>
    <row r="99">
      <c r="A99" s="203">
        <f t="shared" si="1"/>
        <v>98</v>
      </c>
      <c r="B99" s="204" t="s">
        <v>121</v>
      </c>
      <c r="C99" s="205" t="s">
        <v>947</v>
      </c>
      <c r="D99" s="206" t="s">
        <v>642</v>
      </c>
      <c r="E99" s="207" t="str">
        <f t="shared" si="2"/>
        <v>HCM 027</v>
      </c>
      <c r="F99" s="208" t="str">
        <f t="shared" si="3"/>
        <v>Lê Ngọc Phát</v>
      </c>
      <c r="J99" s="209"/>
      <c r="K99" s="210" t="s">
        <v>644</v>
      </c>
      <c r="L99" s="210" t="str">
        <f t="shared" si="4"/>
        <v>Trần Huỳnh Thơ</v>
      </c>
      <c r="M99" s="210" t="s">
        <v>769</v>
      </c>
      <c r="N99" s="210" t="s">
        <v>744</v>
      </c>
    </row>
    <row r="100">
      <c r="A100" s="203">
        <f t="shared" si="1"/>
        <v>99</v>
      </c>
      <c r="B100" s="204" t="s">
        <v>105</v>
      </c>
      <c r="C100" s="205" t="s">
        <v>378</v>
      </c>
      <c r="D100" s="206" t="s">
        <v>434</v>
      </c>
      <c r="E100" s="207" t="str">
        <f t="shared" si="2"/>
        <v>HCM 021</v>
      </c>
      <c r="F100" s="208" t="str">
        <f t="shared" si="3"/>
        <v>Hồ Xuân Thịnh</v>
      </c>
      <c r="J100" s="209"/>
      <c r="K100" s="210" t="s">
        <v>678</v>
      </c>
      <c r="L100" s="210" t="str">
        <f t="shared" si="4"/>
        <v>Trần Huỳnh Thơ</v>
      </c>
      <c r="M100" s="210" t="s">
        <v>769</v>
      </c>
      <c r="N100" s="210" t="s">
        <v>744</v>
      </c>
    </row>
    <row r="101">
      <c r="A101" s="203">
        <f t="shared" si="1"/>
        <v>100</v>
      </c>
      <c r="B101" s="204" t="s">
        <v>948</v>
      </c>
      <c r="C101" s="205" t="s">
        <v>225</v>
      </c>
      <c r="D101" s="206" t="s">
        <v>654</v>
      </c>
      <c r="E101" s="207" t="str">
        <f t="shared" si="2"/>
        <v>HCM 027</v>
      </c>
      <c r="F101" s="208" t="str">
        <f t="shared" si="3"/>
        <v>Lê Ngọc Phát</v>
      </c>
      <c r="J101" s="209"/>
      <c r="K101" s="210" t="s">
        <v>441</v>
      </c>
      <c r="L101" s="210" t="str">
        <f t="shared" si="4"/>
        <v>Võ Thị Thùy Dương</v>
      </c>
      <c r="M101" s="210" t="s">
        <v>806</v>
      </c>
      <c r="N101" s="210" t="s">
        <v>744</v>
      </c>
    </row>
    <row r="102">
      <c r="A102" s="203">
        <f t="shared" si="1"/>
        <v>101</v>
      </c>
      <c r="B102" s="204" t="s">
        <v>127</v>
      </c>
      <c r="C102" s="205" t="s">
        <v>949</v>
      </c>
      <c r="D102" s="206" t="s">
        <v>611</v>
      </c>
      <c r="E102" s="207" t="str">
        <f t="shared" si="2"/>
        <v>HCM 026</v>
      </c>
      <c r="F102" s="208" t="str">
        <f t="shared" si="3"/>
        <v>Trần Tiến Thạnh</v>
      </c>
      <c r="J102" s="209"/>
      <c r="K102" s="210" t="s">
        <v>636</v>
      </c>
      <c r="L102" s="210" t="str">
        <f t="shared" si="4"/>
        <v>Đặng Đăng Khoa</v>
      </c>
      <c r="M102" s="210" t="s">
        <v>866</v>
      </c>
      <c r="N102" s="210" t="s">
        <v>741</v>
      </c>
    </row>
    <row r="103">
      <c r="A103" s="203">
        <f t="shared" si="1"/>
        <v>102</v>
      </c>
      <c r="B103" s="204" t="s">
        <v>950</v>
      </c>
      <c r="C103" s="205" t="s">
        <v>951</v>
      </c>
      <c r="D103" s="206" t="s">
        <v>620</v>
      </c>
      <c r="E103" s="207" t="str">
        <f t="shared" si="2"/>
        <v>HCM 034</v>
      </c>
      <c r="F103" s="208" t="str">
        <f t="shared" si="3"/>
        <v>Lê Thị Bích Liểu</v>
      </c>
      <c r="J103" s="209"/>
      <c r="K103" s="210" t="s">
        <v>457</v>
      </c>
      <c r="L103" s="210" t="str">
        <f t="shared" si="4"/>
        <v>Đặng Đăng Khoa</v>
      </c>
      <c r="M103" s="210" t="s">
        <v>866</v>
      </c>
      <c r="N103" s="210" t="s">
        <v>741</v>
      </c>
    </row>
    <row r="104">
      <c r="A104" s="203">
        <f t="shared" si="1"/>
        <v>103</v>
      </c>
      <c r="B104" s="204" t="s">
        <v>952</v>
      </c>
      <c r="C104" s="205" t="s">
        <v>953</v>
      </c>
      <c r="D104" s="206" t="s">
        <v>453</v>
      </c>
      <c r="E104" s="207" t="str">
        <f t="shared" si="2"/>
        <v>HCM 020</v>
      </c>
      <c r="F104" s="208" t="str">
        <f t="shared" si="3"/>
        <v>Phạm Hữu Chương</v>
      </c>
      <c r="J104" s="209"/>
      <c r="K104" s="210" t="s">
        <v>568</v>
      </c>
      <c r="L104" s="210" t="str">
        <f t="shared" si="4"/>
        <v>Đặng Đăng Khoa</v>
      </c>
      <c r="M104" s="210" t="s">
        <v>866</v>
      </c>
      <c r="N104" s="210" t="s">
        <v>741</v>
      </c>
    </row>
    <row r="105">
      <c r="A105" s="203">
        <f t="shared" si="1"/>
        <v>104</v>
      </c>
      <c r="B105" s="204" t="s">
        <v>954</v>
      </c>
      <c r="C105" s="205" t="s">
        <v>955</v>
      </c>
      <c r="D105" s="206" t="s">
        <v>616</v>
      </c>
      <c r="E105" s="207" t="str">
        <f t="shared" si="2"/>
        <v>HCM 035</v>
      </c>
      <c r="F105" s="208" t="str">
        <f t="shared" si="3"/>
        <v>Đào Hồng Hiện</v>
      </c>
      <c r="J105" s="209"/>
      <c r="K105" s="210" t="s">
        <v>600</v>
      </c>
      <c r="L105" s="210" t="str">
        <f t="shared" si="4"/>
        <v>Lê Huỳnh Thiện</v>
      </c>
      <c r="M105" s="210" t="s">
        <v>823</v>
      </c>
      <c r="N105" s="210" t="s">
        <v>741</v>
      </c>
    </row>
    <row r="106">
      <c r="A106" s="203">
        <f t="shared" si="1"/>
        <v>105</v>
      </c>
      <c r="B106" s="204" t="s">
        <v>956</v>
      </c>
      <c r="C106" s="205">
        <v>45758.0</v>
      </c>
      <c r="D106" s="206" t="s">
        <v>486</v>
      </c>
      <c r="E106" s="207" t="str">
        <f t="shared" si="2"/>
        <v>HCM 035</v>
      </c>
      <c r="F106" s="208" t="str">
        <f t="shared" si="3"/>
        <v>Đào Hồng Hiện</v>
      </c>
      <c r="J106" s="209"/>
      <c r="K106" s="210" t="s">
        <v>503</v>
      </c>
      <c r="L106" s="210" t="str">
        <f t="shared" si="4"/>
        <v>Đặng Đăng Khoa</v>
      </c>
      <c r="M106" s="210" t="s">
        <v>866</v>
      </c>
      <c r="N106" s="210" t="s">
        <v>741</v>
      </c>
    </row>
    <row r="107">
      <c r="A107" s="203">
        <f t="shared" si="1"/>
        <v>106</v>
      </c>
      <c r="B107" s="204" t="s">
        <v>117</v>
      </c>
      <c r="C107" s="205" t="s">
        <v>957</v>
      </c>
      <c r="D107" s="206" t="s">
        <v>558</v>
      </c>
      <c r="E107" s="207" t="str">
        <f t="shared" si="2"/>
        <v>HCM 026</v>
      </c>
      <c r="F107" s="208" t="str">
        <f t="shared" si="3"/>
        <v>Trần Tiến Thạnh</v>
      </c>
      <c r="J107" s="209"/>
      <c r="K107" s="210" t="s">
        <v>593</v>
      </c>
      <c r="L107" s="210" t="str">
        <f t="shared" si="4"/>
        <v>Nguyễn Thuỷ Tiên</v>
      </c>
      <c r="M107" s="210" t="s">
        <v>750</v>
      </c>
      <c r="N107" s="210" t="s">
        <v>744</v>
      </c>
    </row>
    <row r="108">
      <c r="A108" s="203">
        <f t="shared" si="1"/>
        <v>107</v>
      </c>
      <c r="B108" s="204" t="s">
        <v>958</v>
      </c>
      <c r="C108" s="205" t="s">
        <v>959</v>
      </c>
      <c r="D108" s="206" t="s">
        <v>472</v>
      </c>
      <c r="E108" s="207" t="str">
        <f t="shared" si="2"/>
        <v>HCM 035</v>
      </c>
      <c r="F108" s="208" t="str">
        <f t="shared" si="3"/>
        <v>Đào Hồng Hiện</v>
      </c>
      <c r="J108" s="209"/>
      <c r="K108" s="210" t="s">
        <v>640</v>
      </c>
      <c r="L108" s="210" t="str">
        <f t="shared" si="4"/>
        <v>Trần Hữu Vinh</v>
      </c>
      <c r="M108" s="210" t="s">
        <v>778</v>
      </c>
      <c r="N108" s="210" t="s">
        <v>744</v>
      </c>
    </row>
    <row r="109">
      <c r="A109" s="203">
        <f t="shared" si="1"/>
        <v>108</v>
      </c>
      <c r="B109" s="204" t="s">
        <v>960</v>
      </c>
      <c r="C109" s="205" t="s">
        <v>889</v>
      </c>
      <c r="D109" s="206" t="s">
        <v>632</v>
      </c>
      <c r="E109" s="207" t="str">
        <f t="shared" si="2"/>
        <v>HCM 026</v>
      </c>
      <c r="F109" s="208" t="str">
        <f t="shared" si="3"/>
        <v>Trần Tiến Thạnh</v>
      </c>
      <c r="J109" s="209"/>
      <c r="K109" s="210" t="s">
        <v>596</v>
      </c>
      <c r="L109" s="210" t="str">
        <f t="shared" si="4"/>
        <v>Trần Hữu Vinh</v>
      </c>
      <c r="M109" s="210" t="s">
        <v>778</v>
      </c>
      <c r="N109" s="210" t="s">
        <v>744</v>
      </c>
    </row>
    <row r="110">
      <c r="A110" s="203">
        <f t="shared" si="1"/>
        <v>109</v>
      </c>
      <c r="B110" s="204" t="s">
        <v>961</v>
      </c>
      <c r="C110" s="205" t="s">
        <v>962</v>
      </c>
      <c r="D110" s="206" t="s">
        <v>588</v>
      </c>
      <c r="E110" s="207" t="str">
        <f t="shared" si="2"/>
        <v>HCM 019</v>
      </c>
      <c r="F110" s="208" t="str">
        <f t="shared" si="3"/>
        <v>Trần Thanh Hiền</v>
      </c>
      <c r="J110" s="209"/>
      <c r="K110" s="210" t="s">
        <v>551</v>
      </c>
      <c r="L110" s="210" t="str">
        <f t="shared" si="4"/>
        <v>Trần Hữu Vinh</v>
      </c>
      <c r="M110" s="210" t="s">
        <v>778</v>
      </c>
      <c r="N110" s="210" t="s">
        <v>744</v>
      </c>
    </row>
    <row r="111">
      <c r="A111" s="203">
        <f t="shared" si="1"/>
        <v>110</v>
      </c>
      <c r="B111" s="204" t="s">
        <v>963</v>
      </c>
      <c r="C111" s="205" t="s">
        <v>964</v>
      </c>
      <c r="D111" s="206" t="s">
        <v>658</v>
      </c>
      <c r="E111" s="207" t="str">
        <f t="shared" si="2"/>
        <v>HCM 019</v>
      </c>
      <c r="F111" s="208" t="str">
        <f t="shared" si="3"/>
        <v>Trần Thanh Hiền</v>
      </c>
      <c r="J111" s="209"/>
      <c r="K111" s="210" t="s">
        <v>641</v>
      </c>
      <c r="L111" s="210" t="str">
        <f t="shared" si="4"/>
        <v>Trần Hữu Vinh</v>
      </c>
      <c r="M111" s="210" t="s">
        <v>778</v>
      </c>
      <c r="N111" s="210" t="s">
        <v>744</v>
      </c>
    </row>
    <row r="112">
      <c r="A112" s="203">
        <f t="shared" si="1"/>
        <v>111</v>
      </c>
      <c r="B112" s="204" t="s">
        <v>965</v>
      </c>
      <c r="C112" s="205" t="s">
        <v>966</v>
      </c>
      <c r="D112" s="206" t="s">
        <v>450</v>
      </c>
      <c r="E112" s="207" t="str">
        <f t="shared" si="2"/>
        <v>HCM 006</v>
      </c>
      <c r="F112" s="208" t="str">
        <f t="shared" si="3"/>
        <v>Nguyễn Đình Vũ</v>
      </c>
      <c r="J112" s="209"/>
      <c r="K112" s="210" t="s">
        <v>561</v>
      </c>
      <c r="L112" s="210" t="str">
        <f t="shared" si="4"/>
        <v>Trần Huỳnh Thơ</v>
      </c>
      <c r="M112" s="210" t="s">
        <v>769</v>
      </c>
      <c r="N112" s="210" t="s">
        <v>744</v>
      </c>
    </row>
    <row r="113">
      <c r="A113" s="203">
        <f t="shared" si="1"/>
        <v>112</v>
      </c>
      <c r="B113" s="204" t="s">
        <v>967</v>
      </c>
      <c r="C113" s="205" t="s">
        <v>968</v>
      </c>
      <c r="D113" s="206" t="s">
        <v>439</v>
      </c>
      <c r="E113" s="207" t="str">
        <f t="shared" si="2"/>
        <v>HCM 018</v>
      </c>
      <c r="F113" s="208" t="str">
        <f t="shared" si="3"/>
        <v>Võ Minh Đạt</v>
      </c>
      <c r="J113" s="209"/>
      <c r="K113" s="210" t="s">
        <v>521</v>
      </c>
      <c r="L113" s="210" t="str">
        <f t="shared" si="4"/>
        <v>Huỳnh Ngọc Phương</v>
      </c>
      <c r="M113" s="210" t="s">
        <v>855</v>
      </c>
      <c r="N113" s="210" t="s">
        <v>741</v>
      </c>
    </row>
    <row r="114">
      <c r="A114" s="203">
        <f t="shared" si="1"/>
        <v>113</v>
      </c>
      <c r="B114" s="204" t="s">
        <v>969</v>
      </c>
      <c r="C114" s="205" t="s">
        <v>970</v>
      </c>
      <c r="D114" s="206" t="s">
        <v>609</v>
      </c>
      <c r="E114" s="207" t="str">
        <f t="shared" si="2"/>
        <v>HCM 019</v>
      </c>
      <c r="F114" s="208" t="str">
        <f t="shared" si="3"/>
        <v>Trần Thanh Hiền</v>
      </c>
      <c r="J114" s="209"/>
      <c r="K114" s="210" t="s">
        <v>721</v>
      </c>
      <c r="L114" s="210" t="str">
        <f t="shared" si="4"/>
        <v>Lê Huỳnh Thiện</v>
      </c>
      <c r="M114" s="210" t="s">
        <v>823</v>
      </c>
      <c r="N114" s="210" t="s">
        <v>741</v>
      </c>
    </row>
    <row r="115">
      <c r="A115" s="203">
        <f t="shared" si="1"/>
        <v>114</v>
      </c>
      <c r="B115" s="204" t="s">
        <v>971</v>
      </c>
      <c r="C115" s="205">
        <v>45149.0</v>
      </c>
      <c r="D115" s="206" t="s">
        <v>674</v>
      </c>
      <c r="E115" s="207" t="str">
        <f t="shared" si="2"/>
        <v>HCM 018</v>
      </c>
      <c r="F115" s="208" t="str">
        <f t="shared" si="3"/>
        <v>Võ Minh Đạt</v>
      </c>
      <c r="J115" s="209"/>
      <c r="K115" s="210" t="s">
        <v>723</v>
      </c>
      <c r="L115" s="210" t="str">
        <f t="shared" si="4"/>
        <v>Lê Huỳnh Thiện</v>
      </c>
      <c r="M115" s="210" t="s">
        <v>823</v>
      </c>
      <c r="N115" s="210" t="s">
        <v>741</v>
      </c>
    </row>
    <row r="116">
      <c r="A116" s="203">
        <f t="shared" si="1"/>
        <v>115</v>
      </c>
      <c r="B116" s="204" t="s">
        <v>96</v>
      </c>
      <c r="C116" s="205" t="s">
        <v>567</v>
      </c>
      <c r="D116" s="206" t="s">
        <v>621</v>
      </c>
      <c r="E116" s="207" t="str">
        <f t="shared" si="2"/>
        <v>HCM 007</v>
      </c>
      <c r="F116" s="208" t="str">
        <f t="shared" si="3"/>
        <v>Nguyễn Văn Lâm</v>
      </c>
      <c r="J116" s="209"/>
      <c r="K116" s="210" t="s">
        <v>552</v>
      </c>
      <c r="L116" s="210" t="str">
        <f t="shared" si="4"/>
        <v>Lâm Văn Tú</v>
      </c>
      <c r="M116" s="210" t="s">
        <v>791</v>
      </c>
      <c r="N116" s="210" t="s">
        <v>744</v>
      </c>
    </row>
    <row r="117">
      <c r="A117" s="203">
        <f t="shared" si="1"/>
        <v>116</v>
      </c>
      <c r="B117" s="204" t="s">
        <v>972</v>
      </c>
      <c r="C117" s="205">
        <v>45296.0</v>
      </c>
      <c r="D117" s="206" t="s">
        <v>526</v>
      </c>
      <c r="E117" s="207" t="str">
        <f t="shared" si="2"/>
        <v>HCM 007</v>
      </c>
      <c r="F117" s="208" t="str">
        <f t="shared" si="3"/>
        <v>Nguyễn Văn Lâm</v>
      </c>
      <c r="J117" s="209"/>
      <c r="K117" s="210" t="s">
        <v>505</v>
      </c>
      <c r="L117" s="210" t="str">
        <f t="shared" si="4"/>
        <v>Võ Minh Đạt</v>
      </c>
      <c r="M117" s="210" t="s">
        <v>829</v>
      </c>
      <c r="N117" s="210" t="s">
        <v>741</v>
      </c>
    </row>
    <row r="118">
      <c r="A118" s="203">
        <f t="shared" si="1"/>
        <v>117</v>
      </c>
      <c r="B118" s="204" t="s">
        <v>973</v>
      </c>
      <c r="C118" s="205" t="s">
        <v>974</v>
      </c>
      <c r="D118" s="206" t="s">
        <v>586</v>
      </c>
      <c r="E118" s="207" t="str">
        <f t="shared" si="2"/>
        <v>HCM 007</v>
      </c>
      <c r="F118" s="208" t="str">
        <f t="shared" si="3"/>
        <v>Nguyễn Văn Lâm</v>
      </c>
      <c r="J118" s="209"/>
      <c r="K118" s="210" t="s">
        <v>576</v>
      </c>
      <c r="L118" s="210" t="str">
        <f t="shared" si="4"/>
        <v>Hồ Xuân Thịnh</v>
      </c>
      <c r="M118" s="210" t="s">
        <v>843</v>
      </c>
      <c r="N118" s="210" t="s">
        <v>741</v>
      </c>
    </row>
    <row r="119">
      <c r="A119" s="203">
        <f t="shared" si="1"/>
        <v>118</v>
      </c>
      <c r="B119" s="204" t="s">
        <v>125</v>
      </c>
      <c r="C119" s="205">
        <v>45820.0</v>
      </c>
      <c r="D119" s="206" t="s">
        <v>605</v>
      </c>
      <c r="E119" s="207" t="str">
        <f t="shared" si="2"/>
        <v>HCM 026</v>
      </c>
      <c r="F119" s="208" t="str">
        <f t="shared" si="3"/>
        <v>Trần Tiến Thạnh</v>
      </c>
      <c r="J119" s="209"/>
      <c r="K119" s="210" t="s">
        <v>653</v>
      </c>
      <c r="L119" s="210" t="str">
        <f t="shared" si="4"/>
        <v>Trần Tiến Thạnh</v>
      </c>
      <c r="M119" s="210" t="s">
        <v>849</v>
      </c>
      <c r="N119" s="210" t="s">
        <v>741</v>
      </c>
    </row>
    <row r="120">
      <c r="A120" s="203">
        <f t="shared" si="1"/>
        <v>119</v>
      </c>
      <c r="B120" s="204" t="s">
        <v>74</v>
      </c>
      <c r="C120" s="205">
        <v>45941.0</v>
      </c>
      <c r="D120" s="206" t="s">
        <v>676</v>
      </c>
      <c r="E120" s="207" t="str">
        <f t="shared" si="2"/>
        <v>HCM 020</v>
      </c>
      <c r="F120" s="208" t="str">
        <f t="shared" si="3"/>
        <v>Phạm Hữu Chương</v>
      </c>
      <c r="J120" s="209"/>
      <c r="K120" s="210" t="s">
        <v>631</v>
      </c>
      <c r="L120" s="210" t="str">
        <f t="shared" si="4"/>
        <v>Phạm Hữu Chương</v>
      </c>
      <c r="M120" s="210" t="s">
        <v>839</v>
      </c>
      <c r="N120" s="210" t="s">
        <v>741</v>
      </c>
    </row>
    <row r="121">
      <c r="A121" s="203">
        <f t="shared" si="1"/>
        <v>120</v>
      </c>
      <c r="B121" s="204" t="s">
        <v>975</v>
      </c>
      <c r="C121" s="205" t="s">
        <v>976</v>
      </c>
      <c r="D121" s="206" t="s">
        <v>422</v>
      </c>
      <c r="E121" s="207" t="str">
        <f t="shared" si="2"/>
        <v>HCM 005</v>
      </c>
      <c r="F121" s="208" t="str">
        <f t="shared" si="3"/>
        <v>Nguyễn Thị Ngọc Bích</v>
      </c>
      <c r="J121" s="209"/>
      <c r="K121" s="210" t="s">
        <v>583</v>
      </c>
      <c r="L121" s="210" t="str">
        <f t="shared" si="4"/>
        <v>Nguyễn Đình Vũ</v>
      </c>
      <c r="M121" s="210" t="s">
        <v>813</v>
      </c>
      <c r="N121" s="210" t="s">
        <v>741</v>
      </c>
    </row>
    <row r="122">
      <c r="A122" s="203">
        <f t="shared" si="1"/>
        <v>121</v>
      </c>
      <c r="B122" s="204" t="s">
        <v>977</v>
      </c>
      <c r="C122" s="205" t="s">
        <v>978</v>
      </c>
      <c r="D122" s="206" t="s">
        <v>541</v>
      </c>
      <c r="E122" s="207" t="str">
        <f t="shared" si="2"/>
        <v>HCM 019</v>
      </c>
      <c r="F122" s="208" t="str">
        <f t="shared" si="3"/>
        <v>Trần Thanh Hiền</v>
      </c>
      <c r="J122" s="209"/>
      <c r="K122" s="210" t="s">
        <v>642</v>
      </c>
      <c r="L122" s="210" t="str">
        <f t="shared" si="4"/>
        <v>Lê Ngọc Phát</v>
      </c>
      <c r="M122" s="210" t="s">
        <v>740</v>
      </c>
      <c r="N122" s="210" t="s">
        <v>741</v>
      </c>
    </row>
    <row r="123">
      <c r="A123" s="203">
        <f t="shared" si="1"/>
        <v>122</v>
      </c>
      <c r="B123" s="204" t="s">
        <v>979</v>
      </c>
      <c r="C123" s="205" t="s">
        <v>192</v>
      </c>
      <c r="D123" s="206" t="s">
        <v>683</v>
      </c>
      <c r="E123" s="207" t="str">
        <f t="shared" si="2"/>
        <v>HCM 034</v>
      </c>
      <c r="F123" s="208" t="str">
        <f t="shared" si="3"/>
        <v>Lê Thị Bích Liểu</v>
      </c>
      <c r="J123" s="209"/>
      <c r="K123" s="210" t="s">
        <v>688</v>
      </c>
      <c r="L123" s="210" t="str">
        <f t="shared" si="4"/>
        <v>Nguyễn Đình Vũ</v>
      </c>
      <c r="M123" s="210" t="s">
        <v>813</v>
      </c>
      <c r="N123" s="210" t="s">
        <v>741</v>
      </c>
    </row>
    <row r="124">
      <c r="A124" s="203">
        <f t="shared" si="1"/>
        <v>123</v>
      </c>
      <c r="B124" s="204" t="s">
        <v>980</v>
      </c>
      <c r="C124" s="205">
        <v>45325.0</v>
      </c>
      <c r="D124" s="206" t="s">
        <v>625</v>
      </c>
      <c r="E124" s="207" t="str">
        <f t="shared" si="2"/>
        <v>HCM 007</v>
      </c>
      <c r="F124" s="208" t="str">
        <f t="shared" si="3"/>
        <v>Nguyễn Văn Lâm</v>
      </c>
      <c r="J124" s="209"/>
      <c r="K124" s="210" t="s">
        <v>434</v>
      </c>
      <c r="L124" s="210" t="str">
        <f t="shared" si="4"/>
        <v>Hồ Xuân Thịnh</v>
      </c>
      <c r="M124" s="210" t="s">
        <v>843</v>
      </c>
      <c r="N124" s="210" t="s">
        <v>741</v>
      </c>
    </row>
    <row r="125">
      <c r="A125" s="203">
        <f t="shared" si="1"/>
        <v>124</v>
      </c>
      <c r="B125" s="204" t="s">
        <v>981</v>
      </c>
      <c r="C125" s="205" t="s">
        <v>982</v>
      </c>
      <c r="D125" s="206" t="s">
        <v>493</v>
      </c>
      <c r="E125" s="207" t="str">
        <f t="shared" si="2"/>
        <v>HCM 034</v>
      </c>
      <c r="F125" s="208" t="str">
        <f t="shared" si="3"/>
        <v>Lê Thị Bích Liểu</v>
      </c>
      <c r="J125" s="209"/>
      <c r="K125" s="210" t="s">
        <v>654</v>
      </c>
      <c r="L125" s="210" t="str">
        <f t="shared" si="4"/>
        <v>Lê Ngọc Phát</v>
      </c>
      <c r="M125" s="210" t="s">
        <v>740</v>
      </c>
      <c r="N125" s="210" t="s">
        <v>741</v>
      </c>
    </row>
    <row r="126">
      <c r="A126" s="203">
        <f t="shared" si="1"/>
        <v>125</v>
      </c>
      <c r="B126" s="204" t="s">
        <v>983</v>
      </c>
      <c r="C126" s="205">
        <v>45605.0</v>
      </c>
      <c r="D126" s="206" t="s">
        <v>432</v>
      </c>
      <c r="E126" s="207" t="str">
        <f t="shared" si="2"/>
        <v>HCM 005</v>
      </c>
      <c r="F126" s="208" t="str">
        <f t="shared" si="3"/>
        <v>Nguyễn Thị Ngọc Bích</v>
      </c>
      <c r="J126" s="209"/>
      <c r="K126" s="210" t="s">
        <v>611</v>
      </c>
      <c r="L126" s="210" t="str">
        <f t="shared" si="4"/>
        <v>Trần Tiến Thạnh</v>
      </c>
      <c r="M126" s="210" t="s">
        <v>849</v>
      </c>
      <c r="N126" s="210" t="s">
        <v>741</v>
      </c>
    </row>
    <row r="127">
      <c r="A127" s="203">
        <f t="shared" si="1"/>
        <v>126</v>
      </c>
      <c r="B127" s="204" t="s">
        <v>984</v>
      </c>
      <c r="C127" s="205">
        <v>45150.0</v>
      </c>
      <c r="D127" s="206" t="s">
        <v>595</v>
      </c>
      <c r="E127" s="207" t="str">
        <f t="shared" si="2"/>
        <v>HCM 005</v>
      </c>
      <c r="F127" s="208" t="str">
        <f t="shared" si="3"/>
        <v>Nguyễn Thị Ngọc Bích</v>
      </c>
      <c r="J127" s="209"/>
      <c r="K127" s="210" t="s">
        <v>620</v>
      </c>
      <c r="L127" s="210" t="str">
        <f t="shared" si="4"/>
        <v>Lê Thị Bích Liểu</v>
      </c>
      <c r="M127" s="210" t="s">
        <v>859</v>
      </c>
      <c r="N127" s="210" t="s">
        <v>741</v>
      </c>
    </row>
    <row r="128">
      <c r="A128" s="203">
        <f t="shared" si="1"/>
        <v>127</v>
      </c>
      <c r="B128" s="204" t="s">
        <v>985</v>
      </c>
      <c r="C128" s="205" t="s">
        <v>782</v>
      </c>
      <c r="D128" s="206" t="s">
        <v>525</v>
      </c>
      <c r="E128" s="207" t="str">
        <f t="shared" si="2"/>
        <v>HCM 034</v>
      </c>
      <c r="F128" s="208" t="str">
        <f t="shared" si="3"/>
        <v>Lê Thị Bích Liểu</v>
      </c>
      <c r="J128" s="209"/>
      <c r="K128" s="210" t="s">
        <v>453</v>
      </c>
      <c r="L128" s="210" t="str">
        <f t="shared" si="4"/>
        <v>Phạm Hữu Chương</v>
      </c>
      <c r="M128" s="210" t="s">
        <v>839</v>
      </c>
      <c r="N128" s="210" t="s">
        <v>741</v>
      </c>
    </row>
    <row r="129">
      <c r="A129" s="203">
        <f t="shared" si="1"/>
        <v>128</v>
      </c>
      <c r="B129" s="204" t="s">
        <v>986</v>
      </c>
      <c r="C129" s="205" t="s">
        <v>987</v>
      </c>
      <c r="D129" s="206" t="s">
        <v>523</v>
      </c>
      <c r="E129" s="207" t="str">
        <f t="shared" si="2"/>
        <v>HCM 021</v>
      </c>
      <c r="F129" s="208" t="str">
        <f t="shared" si="3"/>
        <v>Hồ Xuân Thịnh</v>
      </c>
      <c r="J129" s="209"/>
      <c r="K129" s="210" t="s">
        <v>616</v>
      </c>
      <c r="L129" s="210" t="str">
        <f t="shared" si="4"/>
        <v>Đào Hồng Hiện</v>
      </c>
      <c r="M129" s="210" t="s">
        <v>863</v>
      </c>
      <c r="N129" s="210" t="s">
        <v>741</v>
      </c>
    </row>
    <row r="130">
      <c r="A130" s="203">
        <f t="shared" si="1"/>
        <v>129</v>
      </c>
      <c r="B130" s="204" t="s">
        <v>988</v>
      </c>
      <c r="C130" s="205" t="s">
        <v>786</v>
      </c>
      <c r="D130" s="206" t="s">
        <v>454</v>
      </c>
      <c r="E130" s="207" t="str">
        <f t="shared" si="2"/>
        <v>HCM 021</v>
      </c>
      <c r="F130" s="208" t="str">
        <f t="shared" si="3"/>
        <v>Hồ Xuân Thịnh</v>
      </c>
      <c r="J130" s="209"/>
      <c r="K130" s="210" t="s">
        <v>486</v>
      </c>
      <c r="L130" s="210" t="str">
        <f t="shared" si="4"/>
        <v>Đào Hồng Hiện</v>
      </c>
      <c r="M130" s="210" t="s">
        <v>863</v>
      </c>
      <c r="N130" s="210" t="s">
        <v>741</v>
      </c>
    </row>
    <row r="131">
      <c r="A131" s="203">
        <f t="shared" si="1"/>
        <v>130</v>
      </c>
      <c r="B131" s="204" t="s">
        <v>989</v>
      </c>
      <c r="C131" s="205" t="s">
        <v>990</v>
      </c>
      <c r="D131" s="206" t="s">
        <v>494</v>
      </c>
      <c r="E131" s="207" t="str">
        <f t="shared" si="2"/>
        <v>HCM 020</v>
      </c>
      <c r="F131" s="208" t="str">
        <f t="shared" si="3"/>
        <v>Phạm Hữu Chương</v>
      </c>
      <c r="J131" s="209"/>
      <c r="K131" s="210" t="s">
        <v>558</v>
      </c>
      <c r="L131" s="210" t="str">
        <f t="shared" si="4"/>
        <v>Trần Tiến Thạnh</v>
      </c>
      <c r="M131" s="210" t="s">
        <v>849</v>
      </c>
      <c r="N131" s="210" t="s">
        <v>741</v>
      </c>
    </row>
    <row r="132">
      <c r="A132" s="203">
        <f t="shared" si="1"/>
        <v>131</v>
      </c>
      <c r="B132" s="204" t="s">
        <v>991</v>
      </c>
      <c r="C132" s="205" t="s">
        <v>992</v>
      </c>
      <c r="D132" s="206" t="s">
        <v>635</v>
      </c>
      <c r="E132" s="207" t="str">
        <f t="shared" si="2"/>
        <v>HCM 020</v>
      </c>
      <c r="F132" s="208" t="str">
        <f t="shared" si="3"/>
        <v>Phạm Hữu Chương</v>
      </c>
      <c r="J132" s="209"/>
      <c r="K132" s="210" t="s">
        <v>472</v>
      </c>
      <c r="L132" s="210" t="str">
        <f t="shared" si="4"/>
        <v>Đào Hồng Hiện</v>
      </c>
      <c r="M132" s="210" t="s">
        <v>863</v>
      </c>
      <c r="N132" s="210" t="s">
        <v>741</v>
      </c>
    </row>
    <row r="133">
      <c r="A133" s="203">
        <f t="shared" si="1"/>
        <v>132</v>
      </c>
      <c r="B133" s="204" t="s">
        <v>993</v>
      </c>
      <c r="C133" s="205">
        <v>45388.0</v>
      </c>
      <c r="D133" s="206" t="s">
        <v>587</v>
      </c>
      <c r="E133" s="207" t="str">
        <f t="shared" si="2"/>
        <v>HCM 006</v>
      </c>
      <c r="F133" s="208" t="str">
        <f t="shared" si="3"/>
        <v>Nguyễn Đình Vũ</v>
      </c>
      <c r="J133" s="209"/>
      <c r="K133" s="210" t="s">
        <v>632</v>
      </c>
      <c r="L133" s="210" t="str">
        <f t="shared" si="4"/>
        <v>Trần Tiến Thạnh</v>
      </c>
      <c r="M133" s="210" t="s">
        <v>849</v>
      </c>
      <c r="N133" s="210" t="s">
        <v>741</v>
      </c>
    </row>
    <row r="134">
      <c r="A134" s="203">
        <f t="shared" si="1"/>
        <v>133</v>
      </c>
      <c r="B134" s="204" t="s">
        <v>994</v>
      </c>
      <c r="C134" s="205" t="s">
        <v>995</v>
      </c>
      <c r="D134" s="206" t="s">
        <v>553</v>
      </c>
      <c r="E134" s="207" t="str">
        <f t="shared" si="2"/>
        <v>HCM 028</v>
      </c>
      <c r="F134" s="208" t="str">
        <f t="shared" si="3"/>
        <v>Lâm Văn Tú</v>
      </c>
      <c r="J134" s="209"/>
      <c r="K134" s="210" t="s">
        <v>588</v>
      </c>
      <c r="L134" s="210" t="str">
        <f t="shared" si="4"/>
        <v>Trần Thanh Hiền</v>
      </c>
      <c r="M134" s="210" t="s">
        <v>835</v>
      </c>
      <c r="N134" s="210" t="s">
        <v>741</v>
      </c>
    </row>
    <row r="135">
      <c r="A135" s="203">
        <f t="shared" si="1"/>
        <v>134</v>
      </c>
      <c r="B135" s="204" t="s">
        <v>996</v>
      </c>
      <c r="C135" s="205" t="s">
        <v>997</v>
      </c>
      <c r="D135" s="206" t="s">
        <v>491</v>
      </c>
      <c r="E135" s="207" t="str">
        <f t="shared" si="2"/>
        <v>HCM 014</v>
      </c>
      <c r="F135" s="208" t="str">
        <f t="shared" si="3"/>
        <v>Trần Văn Hiếu</v>
      </c>
      <c r="J135" s="209"/>
      <c r="K135" s="210" t="s">
        <v>658</v>
      </c>
      <c r="L135" s="210" t="str">
        <f t="shared" si="4"/>
        <v>Trần Thanh Hiền</v>
      </c>
      <c r="M135" s="210" t="s">
        <v>835</v>
      </c>
      <c r="N135" s="210" t="s">
        <v>741</v>
      </c>
    </row>
    <row r="136">
      <c r="A136" s="203">
        <f t="shared" si="1"/>
        <v>135</v>
      </c>
      <c r="B136" s="204" t="s">
        <v>998</v>
      </c>
      <c r="C136" s="205" t="s">
        <v>999</v>
      </c>
      <c r="D136" s="206" t="s">
        <v>573</v>
      </c>
      <c r="E136" s="207" t="str">
        <f t="shared" si="2"/>
        <v>HCM 014</v>
      </c>
      <c r="F136" s="208" t="str">
        <f t="shared" si="3"/>
        <v>Trần Văn Hiếu</v>
      </c>
      <c r="J136" s="209"/>
      <c r="K136" s="210" t="s">
        <v>450</v>
      </c>
      <c r="L136" s="210" t="str">
        <f t="shared" si="4"/>
        <v>Nguyễn Đình Vũ</v>
      </c>
      <c r="M136" s="210" t="s">
        <v>813</v>
      </c>
      <c r="N136" s="210" t="s">
        <v>741</v>
      </c>
    </row>
    <row r="137">
      <c r="A137" s="203">
        <f t="shared" si="1"/>
        <v>136</v>
      </c>
      <c r="B137" s="204" t="s">
        <v>1000</v>
      </c>
      <c r="C137" s="205" t="s">
        <v>1001</v>
      </c>
      <c r="D137" s="206" t="s">
        <v>515</v>
      </c>
      <c r="E137" s="207" t="str">
        <f t="shared" si="2"/>
        <v>HCM 012</v>
      </c>
      <c r="F137" s="208" t="str">
        <f t="shared" si="3"/>
        <v>Nguyễn Thị Ngọc Thảo</v>
      </c>
      <c r="J137" s="209"/>
      <c r="K137" s="210" t="s">
        <v>727</v>
      </c>
      <c r="L137" s="210" t="str">
        <f t="shared" si="4"/>
        <v>Đào Hồng Hiện</v>
      </c>
      <c r="M137" s="210" t="s">
        <v>863</v>
      </c>
      <c r="N137" s="210" t="s">
        <v>741</v>
      </c>
    </row>
    <row r="138">
      <c r="A138" s="203">
        <f t="shared" si="1"/>
        <v>137</v>
      </c>
      <c r="B138" s="204" t="s">
        <v>1002</v>
      </c>
      <c r="C138" s="205" t="s">
        <v>846</v>
      </c>
      <c r="D138" s="206" t="s">
        <v>599</v>
      </c>
      <c r="E138" s="207" t="str">
        <f t="shared" si="2"/>
        <v>HCM 031</v>
      </c>
      <c r="F138" s="208" t="str">
        <f t="shared" si="3"/>
        <v>Nguyễn Thị Ngọc Giàu</v>
      </c>
      <c r="J138" s="209"/>
      <c r="K138" s="210" t="s">
        <v>439</v>
      </c>
      <c r="L138" s="210" t="str">
        <f t="shared" si="4"/>
        <v>Võ Minh Đạt</v>
      </c>
      <c r="M138" s="210" t="s">
        <v>829</v>
      </c>
      <c r="N138" s="210" t="s">
        <v>741</v>
      </c>
    </row>
    <row r="139">
      <c r="A139" s="203">
        <f t="shared" si="1"/>
        <v>138</v>
      </c>
      <c r="B139" s="204" t="s">
        <v>1003</v>
      </c>
      <c r="C139" s="205">
        <v>45597.0</v>
      </c>
      <c r="D139" s="206" t="s">
        <v>510</v>
      </c>
      <c r="E139" s="207" t="str">
        <f t="shared" si="2"/>
        <v>HCM 028</v>
      </c>
      <c r="F139" s="208" t="str">
        <f t="shared" si="3"/>
        <v>Lâm Văn Tú</v>
      </c>
      <c r="J139" s="209"/>
      <c r="K139" s="210" t="s">
        <v>609</v>
      </c>
      <c r="L139" s="210" t="str">
        <f t="shared" si="4"/>
        <v>Trần Thanh Hiền</v>
      </c>
      <c r="M139" s="210" t="s">
        <v>835</v>
      </c>
      <c r="N139" s="210" t="s">
        <v>741</v>
      </c>
    </row>
    <row r="140">
      <c r="A140" s="203">
        <f t="shared" si="1"/>
        <v>139</v>
      </c>
      <c r="B140" s="204" t="s">
        <v>1004</v>
      </c>
      <c r="C140" s="205" t="s">
        <v>1005</v>
      </c>
      <c r="D140" s="206" t="s">
        <v>689</v>
      </c>
      <c r="E140" s="207" t="str">
        <f t="shared" si="2"/>
        <v>HCM 013</v>
      </c>
      <c r="F140" s="208" t="str">
        <f t="shared" si="3"/>
        <v>Trần Huỳnh Thơ</v>
      </c>
      <c r="J140" s="209"/>
      <c r="K140" s="213" t="s">
        <v>674</v>
      </c>
      <c r="L140" s="210" t="str">
        <f t="shared" si="4"/>
        <v>Võ Minh Đạt</v>
      </c>
      <c r="M140" s="213" t="s">
        <v>829</v>
      </c>
      <c r="N140" s="213" t="s">
        <v>741</v>
      </c>
    </row>
    <row r="141">
      <c r="A141" s="203">
        <f t="shared" si="1"/>
        <v>140</v>
      </c>
      <c r="B141" s="204" t="s">
        <v>1006</v>
      </c>
      <c r="C141" s="205">
        <v>44778.0</v>
      </c>
      <c r="D141" s="206" t="s">
        <v>662</v>
      </c>
      <c r="E141" s="207" t="str">
        <f t="shared" si="2"/>
        <v>HCM 014</v>
      </c>
      <c r="F141" s="208" t="str">
        <f t="shared" si="3"/>
        <v>Trần Văn Hiếu</v>
      </c>
      <c r="J141" s="209"/>
      <c r="K141" s="213" t="s">
        <v>621</v>
      </c>
      <c r="L141" s="210" t="str">
        <f t="shared" si="4"/>
        <v>Nguyễn Văn Lâm</v>
      </c>
      <c r="M141" s="213" t="s">
        <v>817</v>
      </c>
      <c r="N141" s="213" t="s">
        <v>741</v>
      </c>
    </row>
    <row r="142">
      <c r="A142" s="203">
        <f t="shared" si="1"/>
        <v>141</v>
      </c>
      <c r="B142" s="204" t="s">
        <v>1007</v>
      </c>
      <c r="C142" s="205">
        <v>45206.0</v>
      </c>
      <c r="D142" s="206" t="s">
        <v>627</v>
      </c>
      <c r="E142" s="207" t="str">
        <f t="shared" si="2"/>
        <v>HCM 014</v>
      </c>
      <c r="F142" s="208" t="str">
        <f t="shared" si="3"/>
        <v>Trần Văn Hiếu</v>
      </c>
      <c r="J142" s="209"/>
      <c r="K142" s="213" t="s">
        <v>526</v>
      </c>
      <c r="L142" s="210" t="str">
        <f t="shared" si="4"/>
        <v>Nguyễn Văn Lâm</v>
      </c>
      <c r="M142" s="213" t="s">
        <v>817</v>
      </c>
      <c r="N142" s="213" t="s">
        <v>741</v>
      </c>
    </row>
    <row r="143">
      <c r="A143" s="203">
        <f t="shared" si="1"/>
        <v>142</v>
      </c>
      <c r="B143" s="204" t="s">
        <v>1008</v>
      </c>
      <c r="C143" s="205">
        <v>45604.0</v>
      </c>
      <c r="D143" s="206" t="s">
        <v>603</v>
      </c>
      <c r="E143" s="207" t="str">
        <f t="shared" si="2"/>
        <v>HCM 012</v>
      </c>
      <c r="F143" s="208" t="str">
        <f t="shared" si="3"/>
        <v>Nguyễn Thị Ngọc Thảo</v>
      </c>
      <c r="J143" s="209"/>
      <c r="K143" s="210" t="s">
        <v>708</v>
      </c>
      <c r="L143" s="210" t="str">
        <f t="shared" si="4"/>
        <v>Trần Thanh Hiền</v>
      </c>
      <c r="M143" s="210" t="s">
        <v>835</v>
      </c>
      <c r="N143" s="210" t="s">
        <v>741</v>
      </c>
    </row>
    <row r="144">
      <c r="A144" s="203">
        <f t="shared" si="1"/>
        <v>143</v>
      </c>
      <c r="B144" s="208" t="s">
        <v>1009</v>
      </c>
      <c r="C144" s="205" t="s">
        <v>1010</v>
      </c>
      <c r="D144" s="206" t="s">
        <v>512</v>
      </c>
      <c r="E144" s="207" t="str">
        <f t="shared" si="2"/>
        <v>HCM 027</v>
      </c>
      <c r="F144" s="208" t="str">
        <f t="shared" si="3"/>
        <v>Lê Ngọc Phát</v>
      </c>
      <c r="J144" s="209"/>
      <c r="K144" s="210" t="s">
        <v>586</v>
      </c>
      <c r="L144" s="210" t="str">
        <f t="shared" si="4"/>
        <v>Nguyễn Văn Lâm</v>
      </c>
      <c r="M144" s="210" t="s">
        <v>817</v>
      </c>
      <c r="N144" s="210" t="s">
        <v>741</v>
      </c>
    </row>
    <row r="145">
      <c r="A145" s="203">
        <f t="shared" si="1"/>
        <v>144</v>
      </c>
      <c r="B145" s="208" t="s">
        <v>1011</v>
      </c>
      <c r="C145" s="205" t="s">
        <v>1012</v>
      </c>
      <c r="D145" s="206" t="s">
        <v>495</v>
      </c>
      <c r="E145" s="207" t="str">
        <f t="shared" si="2"/>
        <v>HCM 023</v>
      </c>
      <c r="F145" s="208" t="str">
        <f t="shared" si="3"/>
        <v>Hứa Thái Hiển</v>
      </c>
      <c r="J145" s="209"/>
      <c r="K145" s="210" t="s">
        <v>605</v>
      </c>
      <c r="L145" s="210" t="str">
        <f t="shared" si="4"/>
        <v>Trần Tiến Thạnh</v>
      </c>
      <c r="M145" s="210" t="s">
        <v>849</v>
      </c>
      <c r="N145" s="210" t="s">
        <v>741</v>
      </c>
    </row>
    <row r="146">
      <c r="A146" s="203">
        <f t="shared" si="1"/>
        <v>145</v>
      </c>
      <c r="B146" s="208" t="s">
        <v>1013</v>
      </c>
      <c r="C146" s="205">
        <v>46205.0</v>
      </c>
      <c r="D146" s="206" t="s">
        <v>528</v>
      </c>
      <c r="E146" s="207" t="str">
        <f t="shared" si="2"/>
        <v>HCM 032</v>
      </c>
      <c r="F146" s="208" t="str">
        <f t="shared" si="3"/>
        <v>Võ Thị Thùy Dương</v>
      </c>
      <c r="J146" s="209"/>
      <c r="K146" s="210" t="s">
        <v>676</v>
      </c>
      <c r="L146" s="210" t="str">
        <f t="shared" si="4"/>
        <v>Phạm Hữu Chương</v>
      </c>
      <c r="M146" s="210" t="s">
        <v>839</v>
      </c>
      <c r="N146" s="210" t="s">
        <v>741</v>
      </c>
    </row>
    <row r="147">
      <c r="A147" s="203">
        <f t="shared" si="1"/>
        <v>146</v>
      </c>
      <c r="B147" s="208" t="s">
        <v>408</v>
      </c>
      <c r="C147" s="205" t="s">
        <v>1012</v>
      </c>
      <c r="D147" s="206" t="s">
        <v>569</v>
      </c>
      <c r="E147" s="207" t="str">
        <f t="shared" si="2"/>
        <v>HCM 031</v>
      </c>
      <c r="F147" s="208" t="str">
        <f t="shared" si="3"/>
        <v>Nguyễn Thị Ngọc Giàu</v>
      </c>
      <c r="J147" s="209"/>
      <c r="K147" s="210" t="s">
        <v>422</v>
      </c>
      <c r="L147" s="210" t="str">
        <f t="shared" si="4"/>
        <v>Nguyễn Thị Ngọc Bích</v>
      </c>
      <c r="M147" s="210" t="s">
        <v>810</v>
      </c>
      <c r="N147" s="210" t="s">
        <v>741</v>
      </c>
    </row>
    <row r="148">
      <c r="A148" s="203">
        <f t="shared" si="1"/>
        <v>147</v>
      </c>
      <c r="B148" s="208" t="s">
        <v>1014</v>
      </c>
      <c r="C148" s="205" t="s">
        <v>1015</v>
      </c>
      <c r="D148" s="206" t="s">
        <v>663</v>
      </c>
      <c r="E148" s="207" t="str">
        <f t="shared" si="2"/>
        <v>HCM 022</v>
      </c>
      <c r="F148" s="208" t="str">
        <f t="shared" si="3"/>
        <v>Hồng Trọng Nghĩa</v>
      </c>
      <c r="J148" s="209"/>
      <c r="K148" s="210" t="s">
        <v>719</v>
      </c>
      <c r="L148" s="210" t="str">
        <f t="shared" si="4"/>
        <v>Nguyễn Thị Ngọc Bích</v>
      </c>
      <c r="M148" s="210" t="s">
        <v>810</v>
      </c>
      <c r="N148" s="210" t="s">
        <v>741</v>
      </c>
    </row>
    <row r="149">
      <c r="A149" s="203">
        <f t="shared" si="1"/>
        <v>148</v>
      </c>
      <c r="B149" s="208" t="s">
        <v>1016</v>
      </c>
      <c r="C149" s="205">
        <v>46205.0</v>
      </c>
      <c r="D149" s="206" t="s">
        <v>565</v>
      </c>
      <c r="E149" s="207" t="str">
        <f t="shared" si="2"/>
        <v>HCM 003</v>
      </c>
      <c r="F149" s="208" t="str">
        <f t="shared" si="3"/>
        <v>Nguyễn Thuỷ Tiên</v>
      </c>
      <c r="J149" s="209"/>
      <c r="K149" s="210" t="s">
        <v>541</v>
      </c>
      <c r="L149" s="210" t="str">
        <f t="shared" si="4"/>
        <v>Trần Thanh Hiền</v>
      </c>
      <c r="M149" s="210" t="s">
        <v>835</v>
      </c>
      <c r="N149" s="210" t="s">
        <v>741</v>
      </c>
    </row>
    <row r="150">
      <c r="A150" s="203">
        <f t="shared" si="1"/>
        <v>149</v>
      </c>
      <c r="B150" s="208" t="s">
        <v>1017</v>
      </c>
      <c r="C150" s="205" t="s">
        <v>1018</v>
      </c>
      <c r="D150" s="206" t="s">
        <v>685</v>
      </c>
      <c r="E150" s="207" t="str">
        <f t="shared" si="2"/>
        <v>HCM 024</v>
      </c>
      <c r="F150" s="208" t="str">
        <f t="shared" si="3"/>
        <v>Phạm Duy</v>
      </c>
      <c r="J150" s="209"/>
      <c r="K150" s="210" t="s">
        <v>683</v>
      </c>
      <c r="L150" s="210" t="str">
        <f t="shared" si="4"/>
        <v>Lê Thị Bích Liểu</v>
      </c>
      <c r="M150" s="210" t="s">
        <v>859</v>
      </c>
      <c r="N150" s="210" t="s">
        <v>741</v>
      </c>
    </row>
    <row r="151">
      <c r="A151" s="203">
        <f t="shared" si="1"/>
        <v>150</v>
      </c>
      <c r="B151" s="208" t="s">
        <v>1019</v>
      </c>
      <c r="C151" s="205" t="s">
        <v>1020</v>
      </c>
      <c r="D151" s="206" t="s">
        <v>686</v>
      </c>
      <c r="E151" s="207" t="str">
        <f t="shared" si="2"/>
        <v>HCM 003</v>
      </c>
      <c r="F151" s="208" t="str">
        <f t="shared" si="3"/>
        <v>Nguyễn Thuỷ Tiên</v>
      </c>
      <c r="J151" s="209"/>
      <c r="K151" s="210" t="s">
        <v>625</v>
      </c>
      <c r="L151" s="210" t="str">
        <f t="shared" si="4"/>
        <v>Nguyễn Văn Lâm</v>
      </c>
      <c r="M151" s="210" t="s">
        <v>817</v>
      </c>
      <c r="N151" s="210" t="s">
        <v>741</v>
      </c>
    </row>
    <row r="152">
      <c r="A152" s="203">
        <f t="shared" si="1"/>
        <v>151</v>
      </c>
      <c r="B152" s="208" t="s">
        <v>724</v>
      </c>
      <c r="C152" s="205" t="s">
        <v>474</v>
      </c>
      <c r="D152" s="206" t="s">
        <v>687</v>
      </c>
      <c r="E152" s="207" t="str">
        <f t="shared" si="2"/>
        <v>HCM 029</v>
      </c>
      <c r="F152" s="208" t="str">
        <f t="shared" si="3"/>
        <v>Võ Văn Phi Hùng</v>
      </c>
      <c r="J152" s="209"/>
      <c r="K152" s="210" t="s">
        <v>493</v>
      </c>
      <c r="L152" s="210" t="str">
        <f t="shared" si="4"/>
        <v>Lê Thị Bích Liểu</v>
      </c>
      <c r="M152" s="210" t="s">
        <v>859</v>
      </c>
      <c r="N152" s="210" t="s">
        <v>741</v>
      </c>
    </row>
    <row r="153">
      <c r="A153" s="203">
        <f t="shared" si="1"/>
        <v>152</v>
      </c>
      <c r="B153" s="208" t="s">
        <v>1021</v>
      </c>
      <c r="C153" s="205" t="s">
        <v>474</v>
      </c>
      <c r="D153" s="206" t="s">
        <v>688</v>
      </c>
      <c r="E153" s="207" t="str">
        <f t="shared" si="2"/>
        <v>HCM 006</v>
      </c>
      <c r="F153" s="208" t="str">
        <f t="shared" si="3"/>
        <v>Nguyễn Đình Vũ</v>
      </c>
      <c r="J153" s="209"/>
      <c r="K153" s="210" t="s">
        <v>432</v>
      </c>
      <c r="L153" s="210" t="str">
        <f t="shared" si="4"/>
        <v>Nguyễn Thị Ngọc Bích</v>
      </c>
      <c r="M153" s="210" t="s">
        <v>810</v>
      </c>
      <c r="N153" s="210" t="s">
        <v>741</v>
      </c>
    </row>
    <row r="154">
      <c r="A154" s="203">
        <f t="shared" si="1"/>
        <v>153</v>
      </c>
      <c r="B154" s="208" t="s">
        <v>1022</v>
      </c>
      <c r="C154" s="205">
        <v>46176.0</v>
      </c>
      <c r="D154" s="206" t="s">
        <v>636</v>
      </c>
      <c r="E154" s="207" t="str">
        <f t="shared" si="2"/>
        <v>HCM 036</v>
      </c>
      <c r="F154" s="208" t="str">
        <f t="shared" si="3"/>
        <v>Đặng Đăng Khoa</v>
      </c>
      <c r="J154" s="209"/>
      <c r="K154" s="210" t="s">
        <v>595</v>
      </c>
      <c r="L154" s="210" t="str">
        <f t="shared" si="4"/>
        <v>Nguyễn Thị Ngọc Bích</v>
      </c>
      <c r="M154" s="210" t="s">
        <v>810</v>
      </c>
      <c r="N154" s="210" t="s">
        <v>741</v>
      </c>
    </row>
    <row r="155">
      <c r="A155" s="203">
        <f t="shared" si="1"/>
        <v>154</v>
      </c>
      <c r="B155" s="208" t="s">
        <v>691</v>
      </c>
      <c r="C155" s="205" t="s">
        <v>556</v>
      </c>
      <c r="D155" s="206" t="s">
        <v>692</v>
      </c>
      <c r="E155" s="207" t="str">
        <f t="shared" si="2"/>
        <v>HCM 004</v>
      </c>
      <c r="F155" s="208" t="str">
        <f t="shared" si="3"/>
        <v>Trần Kim Phụng</v>
      </c>
      <c r="J155" s="209"/>
      <c r="K155" s="210" t="s">
        <v>525</v>
      </c>
      <c r="L155" s="210" t="str">
        <f t="shared" si="4"/>
        <v>Lê Thị Bích Liểu</v>
      </c>
      <c r="M155" s="210" t="s">
        <v>859</v>
      </c>
      <c r="N155" s="210" t="s">
        <v>741</v>
      </c>
    </row>
    <row r="156">
      <c r="A156" s="203">
        <f t="shared" si="1"/>
        <v>155</v>
      </c>
      <c r="B156" s="208" t="s">
        <v>693</v>
      </c>
      <c r="C156" s="205">
        <v>46330.0</v>
      </c>
      <c r="D156" s="206" t="s">
        <v>694</v>
      </c>
      <c r="E156" s="207" t="str">
        <f t="shared" si="2"/>
        <v>HCM 004</v>
      </c>
      <c r="F156" s="208" t="str">
        <f t="shared" si="3"/>
        <v>Trần Kim Phụng</v>
      </c>
      <c r="J156" s="209"/>
      <c r="K156" s="210" t="s">
        <v>523</v>
      </c>
      <c r="L156" s="210" t="str">
        <f t="shared" si="4"/>
        <v>Hồ Xuân Thịnh</v>
      </c>
      <c r="M156" s="210" t="s">
        <v>843</v>
      </c>
      <c r="N156" s="210" t="s">
        <v>741</v>
      </c>
    </row>
    <row r="157">
      <c r="A157" s="203">
        <f t="shared" si="1"/>
        <v>156</v>
      </c>
      <c r="B157" s="208" t="s">
        <v>695</v>
      </c>
      <c r="C157" s="205" t="s">
        <v>556</v>
      </c>
      <c r="D157" s="206" t="s">
        <v>696</v>
      </c>
      <c r="E157" s="207" t="str">
        <f t="shared" si="2"/>
        <v>HCM 004</v>
      </c>
      <c r="F157" s="208" t="str">
        <f t="shared" si="3"/>
        <v>Trần Kim Phụng</v>
      </c>
      <c r="J157" s="209"/>
      <c r="K157" s="210" t="s">
        <v>454</v>
      </c>
      <c r="L157" s="210" t="str">
        <f t="shared" si="4"/>
        <v>Hồ Xuân Thịnh</v>
      </c>
      <c r="M157" s="210" t="s">
        <v>843</v>
      </c>
      <c r="N157" s="210" t="s">
        <v>741</v>
      </c>
    </row>
    <row r="158">
      <c r="A158" s="203">
        <f t="shared" si="1"/>
        <v>157</v>
      </c>
      <c r="B158" s="208" t="s">
        <v>698</v>
      </c>
      <c r="C158" s="205" t="s">
        <v>697</v>
      </c>
      <c r="D158" s="206" t="s">
        <v>699</v>
      </c>
      <c r="E158" s="207" t="str">
        <f t="shared" si="2"/>
        <v>HCM 001</v>
      </c>
      <c r="F158" s="208" t="str">
        <f t="shared" si="3"/>
        <v>Nguyễn Minh Thắng</v>
      </c>
      <c r="J158" s="209"/>
      <c r="K158" s="210" t="s">
        <v>494</v>
      </c>
      <c r="L158" s="210" t="str">
        <f t="shared" si="4"/>
        <v>Phạm Hữu Chương</v>
      </c>
      <c r="M158" s="210" t="s">
        <v>839</v>
      </c>
      <c r="N158" s="210" t="s">
        <v>741</v>
      </c>
    </row>
    <row r="159">
      <c r="A159" s="203">
        <f t="shared" si="1"/>
        <v>158</v>
      </c>
      <c r="B159" s="208" t="s">
        <v>700</v>
      </c>
      <c r="C159" s="205">
        <v>46299.0</v>
      </c>
      <c r="D159" s="206" t="s">
        <v>701</v>
      </c>
      <c r="E159" s="207" t="str">
        <f t="shared" si="2"/>
        <v>HCM 001</v>
      </c>
      <c r="F159" s="208" t="str">
        <f t="shared" si="3"/>
        <v>Nguyễn Minh Thắng</v>
      </c>
      <c r="J159" s="214"/>
      <c r="K159" s="210" t="s">
        <v>710</v>
      </c>
      <c r="L159" s="210" t="str">
        <f t="shared" si="4"/>
        <v>Nguyễn Đình Vũ</v>
      </c>
      <c r="M159" s="210" t="s">
        <v>813</v>
      </c>
      <c r="N159" s="210" t="s">
        <v>741</v>
      </c>
    </row>
    <row r="160">
      <c r="A160" s="203">
        <f t="shared" si="1"/>
        <v>159</v>
      </c>
      <c r="B160" s="208" t="s">
        <v>702</v>
      </c>
      <c r="C160" s="205" t="s">
        <v>598</v>
      </c>
      <c r="D160" s="206" t="s">
        <v>703</v>
      </c>
      <c r="E160" s="207" t="str">
        <f t="shared" si="2"/>
        <v>HCM 018</v>
      </c>
      <c r="F160" s="208" t="str">
        <f t="shared" si="3"/>
        <v>Võ Minh Đạt</v>
      </c>
      <c r="J160" s="214"/>
      <c r="K160" s="210" t="s">
        <v>635</v>
      </c>
      <c r="L160" s="210" t="str">
        <f t="shared" si="4"/>
        <v>Phạm Hữu Chương</v>
      </c>
      <c r="M160" s="210" t="s">
        <v>839</v>
      </c>
      <c r="N160" s="210" t="s">
        <v>741</v>
      </c>
    </row>
    <row r="161">
      <c r="A161" s="203">
        <f t="shared" si="1"/>
        <v>160</v>
      </c>
      <c r="B161" s="208" t="s">
        <v>704</v>
      </c>
      <c r="C161" s="205" t="s">
        <v>556</v>
      </c>
      <c r="D161" s="206" t="s">
        <v>705</v>
      </c>
      <c r="E161" s="207" t="str">
        <f t="shared" si="2"/>
        <v>HCM 032</v>
      </c>
      <c r="F161" s="208" t="str">
        <f t="shared" si="3"/>
        <v>Võ Thị Thùy Dương</v>
      </c>
      <c r="J161" s="214"/>
      <c r="K161" s="210" t="s">
        <v>587</v>
      </c>
      <c r="L161" s="210" t="str">
        <f t="shared" si="4"/>
        <v>Nguyễn Đình Vũ</v>
      </c>
      <c r="M161" s="210" t="s">
        <v>813</v>
      </c>
      <c r="N161" s="210" t="s">
        <v>741</v>
      </c>
    </row>
    <row r="162">
      <c r="A162" s="203">
        <f t="shared" si="1"/>
        <v>161</v>
      </c>
      <c r="B162" s="208" t="s">
        <v>707</v>
      </c>
      <c r="C162" s="205" t="s">
        <v>598</v>
      </c>
      <c r="D162" s="206" t="s">
        <v>708</v>
      </c>
      <c r="E162" s="207" t="str">
        <f t="shared" si="2"/>
        <v>HCM 019</v>
      </c>
      <c r="F162" s="208" t="str">
        <f t="shared" si="3"/>
        <v>Trần Thanh Hiền</v>
      </c>
      <c r="J162" s="214"/>
      <c r="K162" s="210" t="s">
        <v>553</v>
      </c>
      <c r="L162" s="210" t="str">
        <f t="shared" si="4"/>
        <v>Lâm Văn Tú</v>
      </c>
      <c r="M162" s="210" t="s">
        <v>791</v>
      </c>
      <c r="N162" s="210" t="s">
        <v>744</v>
      </c>
    </row>
    <row r="163">
      <c r="A163" s="203">
        <f t="shared" si="1"/>
        <v>162</v>
      </c>
      <c r="B163" s="208" t="s">
        <v>709</v>
      </c>
      <c r="C163" s="205" t="s">
        <v>634</v>
      </c>
      <c r="D163" s="206" t="s">
        <v>710</v>
      </c>
      <c r="E163" s="207" t="str">
        <f t="shared" si="2"/>
        <v>HCM 006</v>
      </c>
      <c r="F163" s="208" t="str">
        <f t="shared" si="3"/>
        <v>Nguyễn Đình Vũ</v>
      </c>
      <c r="J163" s="214"/>
      <c r="K163" s="210" t="s">
        <v>491</v>
      </c>
      <c r="L163" s="210" t="str">
        <f t="shared" si="4"/>
        <v>Trần Văn Hiếu</v>
      </c>
      <c r="M163" s="210" t="s">
        <v>773</v>
      </c>
      <c r="N163" s="210" t="s">
        <v>744</v>
      </c>
    </row>
    <row r="164">
      <c r="A164" s="203">
        <f t="shared" si="1"/>
        <v>163</v>
      </c>
      <c r="B164" s="208" t="s">
        <v>711</v>
      </c>
      <c r="C164" s="205">
        <v>46116.0</v>
      </c>
      <c r="D164" s="206" t="s">
        <v>712</v>
      </c>
      <c r="E164" s="207" t="str">
        <f t="shared" si="2"/>
        <v>HCM 029</v>
      </c>
      <c r="F164" s="208" t="str">
        <f t="shared" si="3"/>
        <v>Võ Văn Phi Hùng</v>
      </c>
      <c r="J164" s="214"/>
      <c r="K164" s="210" t="s">
        <v>573</v>
      </c>
      <c r="L164" s="210" t="str">
        <f t="shared" si="4"/>
        <v>Trần Văn Hiếu</v>
      </c>
      <c r="M164" s="210" t="s">
        <v>773</v>
      </c>
      <c r="N164" s="210" t="s">
        <v>744</v>
      </c>
    </row>
    <row r="165">
      <c r="A165" s="203">
        <f t="shared" si="1"/>
        <v>164</v>
      </c>
      <c r="B165" s="208" t="s">
        <v>713</v>
      </c>
      <c r="C165" s="205" t="s">
        <v>634</v>
      </c>
      <c r="D165" s="206" t="s">
        <v>714</v>
      </c>
      <c r="E165" s="207" t="str">
        <f t="shared" si="2"/>
        <v>HCM 016</v>
      </c>
      <c r="F165" s="208" t="str">
        <f t="shared" si="3"/>
        <v>Lê Nguyễn Ngọc Phượng</v>
      </c>
      <c r="J165" s="214"/>
      <c r="K165" s="210" t="s">
        <v>515</v>
      </c>
      <c r="L165" s="210" t="str">
        <f t="shared" si="4"/>
        <v>Nguyễn Thị Ngọc Thảo</v>
      </c>
      <c r="M165" s="210" t="s">
        <v>765</v>
      </c>
      <c r="N165" s="210" t="s">
        <v>744</v>
      </c>
    </row>
    <row r="166">
      <c r="A166" s="203">
        <f t="shared" si="1"/>
        <v>165</v>
      </c>
      <c r="B166" s="208" t="s">
        <v>716</v>
      </c>
      <c r="C166" s="205" t="s">
        <v>715</v>
      </c>
      <c r="D166" s="206" t="s">
        <v>717</v>
      </c>
      <c r="E166" s="207" t="str">
        <f t="shared" si="2"/>
        <v>HCM 027</v>
      </c>
      <c r="F166" s="208" t="str">
        <f t="shared" si="3"/>
        <v>Lê Ngọc Phát</v>
      </c>
      <c r="J166" s="214"/>
      <c r="K166" s="210" t="s">
        <v>599</v>
      </c>
      <c r="L166" s="210" t="str">
        <f t="shared" si="4"/>
        <v>Nguyễn Thị Ngọc Giàu</v>
      </c>
      <c r="M166" s="210" t="s">
        <v>799</v>
      </c>
      <c r="N166" s="210" t="s">
        <v>744</v>
      </c>
    </row>
    <row r="167">
      <c r="A167" s="203">
        <f t="shared" si="1"/>
        <v>166</v>
      </c>
      <c r="B167" s="208" t="s">
        <v>718</v>
      </c>
      <c r="C167" s="205" t="s">
        <v>634</v>
      </c>
      <c r="D167" s="206" t="s">
        <v>719</v>
      </c>
      <c r="E167" s="207" t="str">
        <f t="shared" si="2"/>
        <v>HCM 005</v>
      </c>
      <c r="F167" s="208" t="str">
        <f t="shared" si="3"/>
        <v>Nguyễn Thị Ngọc Bích</v>
      </c>
      <c r="J167" s="214"/>
      <c r="K167" s="210" t="s">
        <v>510</v>
      </c>
      <c r="L167" s="210" t="str">
        <f t="shared" si="4"/>
        <v>Lâm Văn Tú</v>
      </c>
      <c r="M167" s="210" t="s">
        <v>791</v>
      </c>
      <c r="N167" s="210" t="s">
        <v>744</v>
      </c>
    </row>
    <row r="168">
      <c r="A168" s="203">
        <f t="shared" si="1"/>
        <v>167</v>
      </c>
      <c r="B168" s="208" t="s">
        <v>720</v>
      </c>
      <c r="C168" s="205">
        <v>46116.0</v>
      </c>
      <c r="D168" s="206" t="s">
        <v>721</v>
      </c>
      <c r="E168" s="207" t="str">
        <f t="shared" si="2"/>
        <v>HCM 009</v>
      </c>
      <c r="F168" s="208" t="str">
        <f t="shared" si="3"/>
        <v>Lê Huỳnh Thiện</v>
      </c>
      <c r="J168" s="214"/>
      <c r="K168" s="210" t="s">
        <v>689</v>
      </c>
      <c r="L168" s="210" t="str">
        <f t="shared" si="4"/>
        <v>Trần Huỳnh Thơ</v>
      </c>
      <c r="M168" s="210" t="s">
        <v>769</v>
      </c>
      <c r="N168" s="210" t="s">
        <v>744</v>
      </c>
    </row>
    <row r="169">
      <c r="A169" s="203">
        <f t="shared" si="1"/>
        <v>168</v>
      </c>
      <c r="B169" s="208" t="s">
        <v>722</v>
      </c>
      <c r="C169" s="205">
        <v>46330.0</v>
      </c>
      <c r="D169" s="206" t="s">
        <v>723</v>
      </c>
      <c r="E169" s="207" t="str">
        <f t="shared" si="2"/>
        <v>HCM 009</v>
      </c>
      <c r="F169" s="208" t="str">
        <f t="shared" si="3"/>
        <v>Lê Huỳnh Thiện</v>
      </c>
      <c r="J169" s="214"/>
      <c r="K169" s="210" t="s">
        <v>662</v>
      </c>
      <c r="L169" s="210" t="str">
        <f t="shared" si="4"/>
        <v>Trần Văn Hiếu</v>
      </c>
      <c r="M169" s="210" t="s">
        <v>773</v>
      </c>
      <c r="N169" s="210" t="s">
        <v>744</v>
      </c>
    </row>
    <row r="170">
      <c r="A170" s="203">
        <f t="shared" si="1"/>
        <v>169</v>
      </c>
      <c r="B170" s="208" t="s">
        <v>726</v>
      </c>
      <c r="C170" s="205">
        <v>46299.0</v>
      </c>
      <c r="D170" s="206" t="s">
        <v>727</v>
      </c>
      <c r="E170" s="207" t="str">
        <f t="shared" si="2"/>
        <v>HCM 035</v>
      </c>
      <c r="F170" s="208" t="str">
        <f t="shared" si="3"/>
        <v>Đào Hồng Hiện</v>
      </c>
      <c r="J170" s="214"/>
      <c r="K170" s="210" t="s">
        <v>627</v>
      </c>
      <c r="L170" s="210" t="str">
        <f t="shared" si="4"/>
        <v>Trần Văn Hiếu</v>
      </c>
      <c r="M170" s="210" t="s">
        <v>773</v>
      </c>
      <c r="N170" s="210" t="s">
        <v>744</v>
      </c>
    </row>
    <row r="171">
      <c r="A171" s="203">
        <f t="shared" si="1"/>
        <v>170</v>
      </c>
      <c r="B171" s="215" t="s">
        <v>695</v>
      </c>
      <c r="C171" s="205">
        <v>46299.0</v>
      </c>
      <c r="D171" s="215" t="s">
        <v>706</v>
      </c>
      <c r="E171" s="207" t="str">
        <f t="shared" si="2"/>
        <v>HCM 032</v>
      </c>
      <c r="F171" s="208" t="str">
        <f t="shared" si="3"/>
        <v>Võ Thị Thùy Dương</v>
      </c>
      <c r="J171" s="214"/>
      <c r="K171" s="210" t="s">
        <v>603</v>
      </c>
      <c r="L171" s="210" t="str">
        <f t="shared" si="4"/>
        <v>Nguyễn Thị Ngọc Thảo</v>
      </c>
      <c r="M171" s="210" t="s">
        <v>765</v>
      </c>
      <c r="N171" s="210" t="s">
        <v>744</v>
      </c>
    </row>
    <row r="172">
      <c r="A172" s="203">
        <f t="shared" si="1"/>
        <v>171</v>
      </c>
      <c r="B172" s="215" t="s">
        <v>724</v>
      </c>
      <c r="C172" s="205">
        <v>46349.0</v>
      </c>
      <c r="D172" s="215" t="s">
        <v>725</v>
      </c>
      <c r="E172" s="207" t="str">
        <f t="shared" si="2"/>
        <v>HCM 012</v>
      </c>
      <c r="F172" s="208" t="str">
        <f t="shared" si="3"/>
        <v>Nguyễn Thị Ngọc Thảo</v>
      </c>
      <c r="J172" s="214"/>
      <c r="K172" s="210" t="s">
        <v>725</v>
      </c>
      <c r="L172" s="210" t="str">
        <f t="shared" si="4"/>
        <v>Nguyễn Thị Ngọc Thảo</v>
      </c>
      <c r="M172" s="210" t="s">
        <v>765</v>
      </c>
      <c r="N172" s="210" t="s">
        <v>744</v>
      </c>
    </row>
    <row r="173">
      <c r="A173" s="216"/>
      <c r="B173" s="217"/>
      <c r="C173" s="218"/>
      <c r="D173" s="216"/>
      <c r="E173" s="216"/>
      <c r="F173" s="217"/>
    </row>
    <row r="174">
      <c r="A174" s="216"/>
      <c r="B174" s="217"/>
      <c r="C174" s="218"/>
      <c r="D174" s="216"/>
      <c r="E174" s="216"/>
      <c r="F174" s="217"/>
    </row>
    <row r="175">
      <c r="A175" s="216"/>
      <c r="B175" s="217"/>
      <c r="C175" s="218"/>
      <c r="D175" s="216"/>
      <c r="E175" s="216"/>
      <c r="F175" s="217"/>
    </row>
    <row r="176">
      <c r="A176" s="216"/>
      <c r="B176" s="217"/>
      <c r="C176" s="218"/>
      <c r="D176" s="216"/>
      <c r="E176" s="216"/>
      <c r="F176" s="217"/>
    </row>
    <row r="177">
      <c r="A177" s="216"/>
      <c r="B177" s="217"/>
      <c r="C177" s="218"/>
      <c r="D177" s="216"/>
      <c r="E177" s="216"/>
      <c r="F177" s="217"/>
    </row>
    <row r="178">
      <c r="A178" s="216"/>
      <c r="B178" s="217"/>
      <c r="C178" s="218"/>
      <c r="D178" s="216"/>
      <c r="E178" s="216"/>
      <c r="F178" s="217"/>
    </row>
    <row r="179">
      <c r="A179" s="216"/>
      <c r="B179" s="217"/>
      <c r="C179" s="218"/>
      <c r="D179" s="216"/>
      <c r="E179" s="216"/>
      <c r="F179" s="217"/>
    </row>
    <row r="180">
      <c r="A180" s="216"/>
      <c r="B180" s="217"/>
      <c r="C180" s="218"/>
      <c r="D180" s="216"/>
      <c r="E180" s="216"/>
      <c r="F180" s="217"/>
    </row>
    <row r="181">
      <c r="A181" s="216"/>
      <c r="B181" s="217"/>
      <c r="C181" s="218"/>
      <c r="D181" s="216"/>
      <c r="E181" s="216"/>
      <c r="F181" s="217"/>
    </row>
    <row r="182">
      <c r="A182" s="216"/>
      <c r="B182" s="217"/>
      <c r="C182" s="218"/>
      <c r="D182" s="216"/>
      <c r="E182" s="216"/>
      <c r="F182" s="217"/>
    </row>
    <row r="183">
      <c r="A183" s="216"/>
      <c r="B183" s="217"/>
      <c r="C183" s="218"/>
      <c r="D183" s="216"/>
      <c r="E183" s="216"/>
      <c r="F183" s="217"/>
    </row>
    <row r="184">
      <c r="A184" s="216"/>
      <c r="B184" s="217"/>
      <c r="C184" s="218"/>
      <c r="D184" s="216"/>
      <c r="E184" s="216"/>
      <c r="F184" s="217"/>
    </row>
    <row r="185">
      <c r="A185" s="216"/>
      <c r="B185" s="217"/>
      <c r="C185" s="218"/>
      <c r="D185" s="216"/>
      <c r="E185" s="216"/>
      <c r="F185" s="217"/>
    </row>
    <row r="186">
      <c r="A186" s="216"/>
      <c r="B186" s="217"/>
      <c r="C186" s="218"/>
      <c r="D186" s="216"/>
      <c r="E186" s="216"/>
      <c r="F186" s="217"/>
    </row>
    <row r="187">
      <c r="A187" s="216"/>
      <c r="B187" s="217"/>
      <c r="C187" s="218"/>
      <c r="D187" s="216"/>
      <c r="E187" s="216"/>
      <c r="F187" s="217"/>
    </row>
    <row r="188">
      <c r="A188" s="216"/>
      <c r="B188" s="217"/>
      <c r="C188" s="218"/>
      <c r="D188" s="216"/>
      <c r="E188" s="216"/>
      <c r="F188" s="217"/>
    </row>
    <row r="189">
      <c r="A189" s="216"/>
      <c r="B189" s="217"/>
      <c r="C189" s="218"/>
      <c r="D189" s="216"/>
      <c r="E189" s="216"/>
      <c r="F189" s="217"/>
    </row>
    <row r="190">
      <c r="A190" s="216"/>
      <c r="B190" s="217"/>
      <c r="C190" s="218"/>
      <c r="D190" s="216"/>
      <c r="E190" s="216"/>
      <c r="F190" s="217"/>
    </row>
    <row r="191">
      <c r="A191" s="216"/>
      <c r="B191" s="217"/>
      <c r="C191" s="218"/>
      <c r="D191" s="216"/>
      <c r="E191" s="216"/>
      <c r="F191" s="217"/>
    </row>
    <row r="192">
      <c r="A192" s="216"/>
      <c r="B192" s="217"/>
      <c r="C192" s="218"/>
      <c r="D192" s="216"/>
      <c r="E192" s="216"/>
      <c r="F192" s="217"/>
    </row>
    <row r="193">
      <c r="A193" s="216"/>
      <c r="B193" s="217"/>
      <c r="C193" s="218"/>
      <c r="D193" s="216"/>
      <c r="E193" s="216"/>
      <c r="F193" s="217"/>
    </row>
    <row r="194">
      <c r="A194" s="216"/>
      <c r="B194" s="217"/>
      <c r="C194" s="218"/>
      <c r="D194" s="216"/>
      <c r="E194" s="216"/>
      <c r="F194" s="217"/>
    </row>
    <row r="195">
      <c r="A195" s="216"/>
      <c r="B195" s="217"/>
      <c r="C195" s="218"/>
      <c r="D195" s="216"/>
      <c r="E195" s="216"/>
      <c r="F195" s="217"/>
    </row>
    <row r="196">
      <c r="A196" s="216"/>
      <c r="B196" s="217"/>
      <c r="C196" s="218"/>
      <c r="D196" s="216"/>
      <c r="E196" s="216"/>
      <c r="F196" s="217"/>
    </row>
    <row r="197">
      <c r="A197" s="216"/>
      <c r="B197" s="217"/>
      <c r="C197" s="218"/>
      <c r="D197" s="216"/>
      <c r="E197" s="216"/>
      <c r="F197" s="217"/>
    </row>
    <row r="198">
      <c r="A198" s="216"/>
      <c r="B198" s="217"/>
      <c r="C198" s="218"/>
      <c r="D198" s="216"/>
      <c r="E198" s="216"/>
      <c r="F198" s="217"/>
    </row>
    <row r="199">
      <c r="A199" s="216"/>
      <c r="B199" s="217"/>
      <c r="C199" s="218"/>
      <c r="D199" s="216"/>
      <c r="E199" s="216"/>
      <c r="F199" s="217"/>
    </row>
    <row r="200">
      <c r="A200" s="216"/>
      <c r="B200" s="217"/>
      <c r="C200" s="218"/>
      <c r="D200" s="216"/>
      <c r="E200" s="216"/>
      <c r="F200" s="217"/>
    </row>
    <row r="201">
      <c r="A201" s="216"/>
      <c r="B201" s="217"/>
      <c r="C201" s="218"/>
      <c r="D201" s="216"/>
      <c r="E201" s="216"/>
      <c r="F201" s="217"/>
    </row>
    <row r="202">
      <c r="A202" s="216"/>
      <c r="B202" s="217"/>
      <c r="C202" s="218"/>
      <c r="D202" s="216"/>
      <c r="E202" s="216"/>
      <c r="F202" s="217"/>
    </row>
    <row r="203">
      <c r="A203" s="216"/>
      <c r="B203" s="217"/>
      <c r="C203" s="218"/>
      <c r="D203" s="216"/>
      <c r="E203" s="216"/>
      <c r="F203" s="217"/>
    </row>
    <row r="204">
      <c r="A204" s="216"/>
      <c r="B204" s="217"/>
      <c r="C204" s="218"/>
      <c r="D204" s="216"/>
      <c r="E204" s="216"/>
      <c r="F204" s="217"/>
    </row>
    <row r="205">
      <c r="A205" s="216"/>
      <c r="B205" s="217"/>
      <c r="C205" s="218"/>
      <c r="D205" s="216"/>
      <c r="E205" s="216"/>
      <c r="F205" s="217"/>
    </row>
    <row r="206">
      <c r="A206" s="216"/>
      <c r="B206" s="217"/>
      <c r="C206" s="218"/>
      <c r="D206" s="216"/>
      <c r="E206" s="216"/>
      <c r="F206" s="217"/>
    </row>
    <row r="207">
      <c r="A207" s="216"/>
      <c r="B207" s="217"/>
      <c r="C207" s="218"/>
      <c r="D207" s="216"/>
      <c r="E207" s="216"/>
      <c r="F207" s="217"/>
    </row>
    <row r="208">
      <c r="A208" s="216"/>
      <c r="B208" s="217"/>
      <c r="C208" s="218"/>
      <c r="D208" s="216"/>
      <c r="E208" s="216"/>
      <c r="F208" s="217"/>
    </row>
    <row r="209">
      <c r="A209" s="216"/>
      <c r="B209" s="217"/>
      <c r="C209" s="218"/>
      <c r="D209" s="216"/>
      <c r="E209" s="216"/>
      <c r="F209" s="217"/>
    </row>
    <row r="210">
      <c r="A210" s="216"/>
      <c r="B210" s="217"/>
      <c r="C210" s="218"/>
      <c r="D210" s="216"/>
      <c r="E210" s="216"/>
      <c r="F210" s="217"/>
    </row>
    <row r="211">
      <c r="A211" s="216"/>
      <c r="B211" s="217"/>
      <c r="C211" s="218"/>
      <c r="D211" s="216"/>
      <c r="E211" s="216"/>
      <c r="F211" s="217"/>
    </row>
    <row r="212">
      <c r="A212" s="216"/>
      <c r="B212" s="217"/>
      <c r="C212" s="218"/>
      <c r="D212" s="216"/>
      <c r="E212" s="216"/>
      <c r="F212" s="217"/>
    </row>
    <row r="213">
      <c r="A213" s="216"/>
      <c r="B213" s="217"/>
      <c r="C213" s="218"/>
      <c r="D213" s="216"/>
      <c r="E213" s="216"/>
      <c r="F213" s="217"/>
    </row>
    <row r="214">
      <c r="A214" s="216"/>
      <c r="B214" s="217"/>
      <c r="C214" s="218"/>
      <c r="D214" s="216"/>
      <c r="E214" s="216"/>
      <c r="F214" s="217"/>
    </row>
    <row r="215">
      <c r="A215" s="216"/>
      <c r="B215" s="217"/>
      <c r="C215" s="218"/>
      <c r="D215" s="216"/>
      <c r="E215" s="216"/>
      <c r="F215" s="217"/>
    </row>
    <row r="216">
      <c r="A216" s="216"/>
      <c r="B216" s="217"/>
      <c r="C216" s="218"/>
      <c r="D216" s="216"/>
      <c r="E216" s="216"/>
      <c r="F216" s="217"/>
    </row>
    <row r="217">
      <c r="A217" s="216"/>
      <c r="B217" s="217"/>
      <c r="C217" s="218"/>
      <c r="D217" s="216"/>
      <c r="E217" s="216"/>
      <c r="F217" s="217"/>
    </row>
    <row r="218">
      <c r="A218" s="216"/>
      <c r="B218" s="217"/>
      <c r="C218" s="218"/>
      <c r="D218" s="216"/>
      <c r="E218" s="216"/>
      <c r="F218" s="217"/>
    </row>
    <row r="219">
      <c r="A219" s="216"/>
      <c r="B219" s="217"/>
      <c r="C219" s="218"/>
      <c r="D219" s="216"/>
      <c r="E219" s="216"/>
      <c r="F219" s="217"/>
    </row>
    <row r="220">
      <c r="A220" s="216"/>
      <c r="B220" s="217"/>
      <c r="C220" s="218"/>
      <c r="D220" s="216"/>
      <c r="E220" s="216"/>
      <c r="F220" s="217"/>
    </row>
    <row r="221">
      <c r="A221" s="216"/>
      <c r="B221" s="217"/>
      <c r="C221" s="218"/>
      <c r="D221" s="216"/>
      <c r="E221" s="216"/>
      <c r="F221" s="217"/>
    </row>
    <row r="222">
      <c r="A222" s="216"/>
      <c r="B222" s="217"/>
      <c r="C222" s="218"/>
      <c r="D222" s="216"/>
      <c r="E222" s="216"/>
      <c r="F222" s="217"/>
    </row>
    <row r="223">
      <c r="A223" s="216"/>
      <c r="B223" s="217"/>
      <c r="C223" s="218"/>
      <c r="D223" s="216"/>
      <c r="E223" s="216"/>
      <c r="F223" s="217"/>
    </row>
    <row r="224">
      <c r="A224" s="216"/>
      <c r="B224" s="217"/>
      <c r="C224" s="218"/>
      <c r="D224" s="216"/>
      <c r="E224" s="216"/>
      <c r="F224" s="217"/>
    </row>
    <row r="225">
      <c r="A225" s="216"/>
      <c r="B225" s="217"/>
      <c r="C225" s="218"/>
      <c r="D225" s="216"/>
      <c r="E225" s="216"/>
      <c r="F225" s="217"/>
    </row>
    <row r="226">
      <c r="A226" s="216"/>
      <c r="B226" s="217"/>
      <c r="C226" s="218"/>
      <c r="D226" s="216"/>
      <c r="E226" s="216"/>
      <c r="F226" s="217"/>
    </row>
    <row r="227">
      <c r="A227" s="216"/>
      <c r="B227" s="217"/>
      <c r="C227" s="218"/>
      <c r="D227" s="216"/>
      <c r="E227" s="216"/>
      <c r="F227" s="217"/>
    </row>
    <row r="228">
      <c r="A228" s="216"/>
      <c r="B228" s="217"/>
      <c r="C228" s="218"/>
      <c r="D228" s="216"/>
      <c r="E228" s="216"/>
      <c r="F228" s="217"/>
    </row>
    <row r="229">
      <c r="A229" s="216"/>
      <c r="B229" s="217"/>
      <c r="C229" s="218"/>
      <c r="D229" s="216"/>
      <c r="E229" s="216"/>
      <c r="F229" s="217"/>
    </row>
    <row r="230">
      <c r="A230" s="216"/>
      <c r="B230" s="217"/>
      <c r="C230" s="218"/>
      <c r="D230" s="216"/>
      <c r="E230" s="216"/>
      <c r="F230" s="217"/>
    </row>
    <row r="231">
      <c r="A231" s="216"/>
      <c r="B231" s="217"/>
      <c r="C231" s="218"/>
      <c r="D231" s="216"/>
      <c r="E231" s="216"/>
      <c r="F231" s="217"/>
    </row>
    <row r="232">
      <c r="A232" s="216"/>
      <c r="B232" s="217"/>
      <c r="C232" s="218"/>
      <c r="D232" s="216"/>
      <c r="E232" s="216"/>
      <c r="F232" s="217"/>
    </row>
    <row r="233">
      <c r="A233" s="216"/>
      <c r="B233" s="217"/>
      <c r="C233" s="218"/>
      <c r="D233" s="216"/>
      <c r="E233" s="216"/>
      <c r="F233" s="217"/>
    </row>
    <row r="234">
      <c r="A234" s="216"/>
      <c r="B234" s="217"/>
      <c r="C234" s="218"/>
      <c r="D234" s="216"/>
      <c r="E234" s="216"/>
      <c r="F234" s="217"/>
    </row>
    <row r="235">
      <c r="A235" s="216"/>
      <c r="B235" s="217"/>
      <c r="C235" s="218"/>
      <c r="D235" s="216"/>
      <c r="E235" s="216"/>
      <c r="F235" s="217"/>
    </row>
    <row r="236">
      <c r="A236" s="216"/>
      <c r="B236" s="217"/>
      <c r="C236" s="218"/>
      <c r="D236" s="216"/>
      <c r="E236" s="216"/>
      <c r="F236" s="217"/>
    </row>
    <row r="237">
      <c r="A237" s="216"/>
      <c r="B237" s="217"/>
      <c r="C237" s="218"/>
      <c r="D237" s="216"/>
      <c r="E237" s="216"/>
      <c r="F237" s="217"/>
    </row>
    <row r="238">
      <c r="A238" s="216"/>
      <c r="B238" s="217"/>
      <c r="C238" s="218"/>
      <c r="D238" s="216"/>
      <c r="E238" s="216"/>
      <c r="F238" s="217"/>
    </row>
    <row r="239">
      <c r="A239" s="216"/>
      <c r="B239" s="217"/>
      <c r="C239" s="218"/>
      <c r="D239" s="216"/>
      <c r="E239" s="216"/>
      <c r="F239" s="217"/>
    </row>
    <row r="240">
      <c r="A240" s="216"/>
      <c r="B240" s="217"/>
      <c r="C240" s="218"/>
      <c r="D240" s="216"/>
      <c r="E240" s="216"/>
      <c r="F240" s="217"/>
    </row>
    <row r="241">
      <c r="A241" s="216"/>
      <c r="B241" s="217"/>
      <c r="C241" s="218"/>
      <c r="D241" s="216"/>
      <c r="E241" s="216"/>
      <c r="F241" s="217"/>
    </row>
    <row r="242">
      <c r="A242" s="216"/>
      <c r="B242" s="217"/>
      <c r="C242" s="218"/>
      <c r="D242" s="216"/>
      <c r="E242" s="216"/>
      <c r="F242" s="217"/>
    </row>
    <row r="243">
      <c r="A243" s="216"/>
      <c r="B243" s="217"/>
      <c r="C243" s="218"/>
      <c r="D243" s="216"/>
      <c r="E243" s="216"/>
      <c r="F243" s="217"/>
    </row>
    <row r="244">
      <c r="A244" s="216"/>
      <c r="B244" s="217"/>
      <c r="C244" s="218"/>
      <c r="D244" s="216"/>
      <c r="E244" s="216"/>
      <c r="F244" s="217"/>
    </row>
    <row r="245">
      <c r="A245" s="216"/>
      <c r="B245" s="217"/>
      <c r="C245" s="218"/>
      <c r="D245" s="216"/>
      <c r="E245" s="216"/>
      <c r="F245" s="217"/>
    </row>
    <row r="246">
      <c r="A246" s="216"/>
      <c r="B246" s="217"/>
      <c r="C246" s="218"/>
      <c r="D246" s="216"/>
      <c r="E246" s="216"/>
      <c r="F246" s="217"/>
    </row>
    <row r="247">
      <c r="A247" s="216"/>
      <c r="B247" s="217"/>
      <c r="C247" s="218"/>
      <c r="D247" s="216"/>
      <c r="E247" s="216"/>
      <c r="F247" s="217"/>
    </row>
    <row r="248">
      <c r="A248" s="216"/>
      <c r="B248" s="217"/>
      <c r="C248" s="218"/>
      <c r="D248" s="216"/>
      <c r="E248" s="216"/>
      <c r="F248" s="217"/>
    </row>
    <row r="249">
      <c r="A249" s="216"/>
      <c r="B249" s="217"/>
      <c r="C249" s="218"/>
      <c r="D249" s="216"/>
      <c r="E249" s="216"/>
      <c r="F249" s="217"/>
    </row>
    <row r="250">
      <c r="A250" s="216"/>
      <c r="B250" s="217"/>
      <c r="C250" s="218"/>
      <c r="D250" s="216"/>
      <c r="E250" s="216"/>
      <c r="F250" s="217"/>
    </row>
    <row r="251">
      <c r="A251" s="216"/>
      <c r="B251" s="217"/>
      <c r="C251" s="218"/>
      <c r="D251" s="216"/>
      <c r="E251" s="216"/>
      <c r="F251" s="217"/>
    </row>
    <row r="252">
      <c r="A252" s="216"/>
      <c r="B252" s="217"/>
      <c r="C252" s="218"/>
      <c r="D252" s="216"/>
      <c r="E252" s="216"/>
      <c r="F252" s="217"/>
    </row>
    <row r="253">
      <c r="A253" s="216"/>
      <c r="B253" s="217"/>
      <c r="C253" s="218"/>
      <c r="D253" s="216"/>
      <c r="E253" s="216"/>
      <c r="F253" s="217"/>
    </row>
    <row r="254">
      <c r="A254" s="216"/>
      <c r="B254" s="217"/>
      <c r="C254" s="218"/>
      <c r="D254" s="216"/>
      <c r="E254" s="216"/>
      <c r="F254" s="217"/>
    </row>
    <row r="255">
      <c r="A255" s="216"/>
      <c r="B255" s="217"/>
      <c r="C255" s="218"/>
      <c r="D255" s="216"/>
      <c r="E255" s="216"/>
      <c r="F255" s="217"/>
    </row>
    <row r="256">
      <c r="A256" s="216"/>
      <c r="B256" s="217"/>
      <c r="C256" s="218"/>
      <c r="D256" s="216"/>
      <c r="E256" s="216"/>
      <c r="F256" s="217"/>
    </row>
    <row r="257">
      <c r="A257" s="216"/>
      <c r="B257" s="217"/>
      <c r="C257" s="218"/>
      <c r="D257" s="216"/>
      <c r="E257" s="216"/>
      <c r="F257" s="217"/>
    </row>
    <row r="258">
      <c r="A258" s="216"/>
      <c r="B258" s="217"/>
      <c r="C258" s="218"/>
      <c r="D258" s="216"/>
      <c r="E258" s="216"/>
      <c r="F258" s="217"/>
    </row>
    <row r="259">
      <c r="A259" s="216"/>
      <c r="B259" s="217"/>
      <c r="C259" s="218"/>
      <c r="D259" s="216"/>
      <c r="E259" s="216"/>
      <c r="F259" s="217"/>
    </row>
    <row r="260">
      <c r="A260" s="216"/>
      <c r="B260" s="217"/>
      <c r="C260" s="218"/>
      <c r="D260" s="216"/>
      <c r="E260" s="216"/>
      <c r="F260" s="217"/>
    </row>
    <row r="261">
      <c r="A261" s="216"/>
      <c r="B261" s="217"/>
      <c r="C261" s="218"/>
      <c r="D261" s="216"/>
      <c r="E261" s="216"/>
      <c r="F261" s="217"/>
    </row>
    <row r="262">
      <c r="A262" s="216"/>
      <c r="B262" s="217"/>
      <c r="C262" s="218"/>
      <c r="D262" s="216"/>
      <c r="E262" s="216"/>
      <c r="F262" s="217"/>
    </row>
    <row r="263">
      <c r="A263" s="216"/>
      <c r="B263" s="217"/>
      <c r="C263" s="218"/>
      <c r="D263" s="216"/>
      <c r="E263" s="216"/>
      <c r="F263" s="217"/>
    </row>
    <row r="264">
      <c r="A264" s="216"/>
      <c r="B264" s="217"/>
      <c r="C264" s="218"/>
      <c r="D264" s="216"/>
      <c r="E264" s="216"/>
      <c r="F264" s="217"/>
    </row>
    <row r="265">
      <c r="A265" s="216"/>
      <c r="B265" s="217"/>
      <c r="C265" s="218"/>
      <c r="D265" s="216"/>
      <c r="E265" s="216"/>
      <c r="F265" s="217"/>
    </row>
    <row r="266">
      <c r="A266" s="216"/>
      <c r="B266" s="217"/>
      <c r="C266" s="218"/>
      <c r="D266" s="216"/>
      <c r="E266" s="216"/>
      <c r="F266" s="217"/>
    </row>
    <row r="267">
      <c r="A267" s="216"/>
      <c r="B267" s="217"/>
      <c r="C267" s="218"/>
      <c r="D267" s="216"/>
      <c r="E267" s="216"/>
      <c r="F267" s="217"/>
    </row>
    <row r="268">
      <c r="A268" s="216"/>
      <c r="B268" s="217"/>
      <c r="C268" s="218"/>
      <c r="D268" s="216"/>
      <c r="E268" s="216"/>
      <c r="F268" s="217"/>
    </row>
    <row r="269">
      <c r="A269" s="216"/>
      <c r="B269" s="217"/>
      <c r="C269" s="218"/>
      <c r="D269" s="216"/>
      <c r="E269" s="216"/>
      <c r="F269" s="217"/>
    </row>
    <row r="270">
      <c r="A270" s="216"/>
      <c r="B270" s="217"/>
      <c r="C270" s="218"/>
      <c r="D270" s="216"/>
      <c r="E270" s="216"/>
      <c r="F270" s="217"/>
    </row>
    <row r="271">
      <c r="A271" s="216"/>
      <c r="B271" s="217"/>
      <c r="C271" s="218"/>
      <c r="D271" s="216"/>
      <c r="E271" s="216"/>
      <c r="F271" s="217"/>
    </row>
    <row r="272">
      <c r="A272" s="216"/>
      <c r="B272" s="217"/>
      <c r="C272" s="218"/>
      <c r="D272" s="216"/>
      <c r="E272" s="216"/>
      <c r="F272" s="217"/>
    </row>
    <row r="273">
      <c r="A273" s="216"/>
      <c r="B273" s="217"/>
      <c r="C273" s="218"/>
      <c r="D273" s="216"/>
      <c r="E273" s="216"/>
      <c r="F273" s="217"/>
    </row>
    <row r="274">
      <c r="A274" s="216"/>
      <c r="B274" s="217"/>
      <c r="C274" s="218"/>
      <c r="D274" s="216"/>
      <c r="E274" s="216"/>
      <c r="F274" s="217"/>
    </row>
    <row r="275">
      <c r="A275" s="216"/>
      <c r="B275" s="217"/>
      <c r="C275" s="218"/>
      <c r="D275" s="216"/>
      <c r="E275" s="216"/>
      <c r="F275" s="217"/>
    </row>
    <row r="276">
      <c r="A276" s="216"/>
      <c r="B276" s="217"/>
      <c r="C276" s="218"/>
      <c r="D276" s="216"/>
      <c r="E276" s="216"/>
      <c r="F276" s="217"/>
    </row>
    <row r="277">
      <c r="A277" s="216"/>
      <c r="B277" s="217"/>
      <c r="C277" s="218"/>
      <c r="D277" s="216"/>
      <c r="E277" s="216"/>
      <c r="F277" s="217"/>
    </row>
    <row r="278">
      <c r="A278" s="216"/>
      <c r="B278" s="217"/>
      <c r="C278" s="218"/>
      <c r="D278" s="216"/>
      <c r="E278" s="216"/>
      <c r="F278" s="217"/>
    </row>
    <row r="279">
      <c r="A279" s="216"/>
      <c r="B279" s="217"/>
      <c r="C279" s="218"/>
      <c r="D279" s="216"/>
      <c r="E279" s="216"/>
      <c r="F279" s="217"/>
    </row>
    <row r="280">
      <c r="A280" s="216"/>
      <c r="B280" s="217"/>
      <c r="C280" s="218"/>
      <c r="D280" s="216"/>
      <c r="E280" s="216"/>
      <c r="F280" s="217"/>
    </row>
    <row r="281">
      <c r="A281" s="216"/>
      <c r="B281" s="217"/>
      <c r="C281" s="218"/>
      <c r="D281" s="216"/>
      <c r="E281" s="216"/>
      <c r="F281" s="217"/>
    </row>
    <row r="282">
      <c r="A282" s="216"/>
      <c r="B282" s="217"/>
      <c r="C282" s="218"/>
      <c r="D282" s="216"/>
      <c r="E282" s="216"/>
      <c r="F282" s="217"/>
    </row>
    <row r="283">
      <c r="A283" s="216"/>
      <c r="B283" s="217"/>
      <c r="C283" s="218"/>
      <c r="D283" s="216"/>
      <c r="E283" s="216"/>
      <c r="F283" s="217"/>
    </row>
    <row r="284">
      <c r="A284" s="216"/>
      <c r="B284" s="217"/>
      <c r="C284" s="218"/>
      <c r="D284" s="216"/>
      <c r="E284" s="216"/>
      <c r="F284" s="217"/>
    </row>
    <row r="285">
      <c r="A285" s="216"/>
      <c r="B285" s="217"/>
      <c r="C285" s="218"/>
      <c r="D285" s="216"/>
      <c r="E285" s="216"/>
      <c r="F285" s="217"/>
    </row>
    <row r="286">
      <c r="A286" s="216"/>
      <c r="B286" s="217"/>
      <c r="C286" s="218"/>
      <c r="D286" s="216"/>
      <c r="E286" s="216"/>
      <c r="F286" s="217"/>
    </row>
    <row r="287">
      <c r="A287" s="216"/>
      <c r="B287" s="217"/>
      <c r="C287" s="218"/>
      <c r="D287" s="216"/>
      <c r="E287" s="216"/>
      <c r="F287" s="217"/>
    </row>
    <row r="288">
      <c r="A288" s="216"/>
      <c r="B288" s="217"/>
      <c r="C288" s="218"/>
      <c r="D288" s="216"/>
      <c r="E288" s="216"/>
      <c r="F288" s="217"/>
    </row>
    <row r="289">
      <c r="A289" s="216"/>
      <c r="B289" s="217"/>
      <c r="C289" s="218"/>
      <c r="D289" s="216"/>
      <c r="E289" s="216"/>
      <c r="F289" s="217"/>
    </row>
    <row r="290">
      <c r="A290" s="216"/>
      <c r="B290" s="217"/>
      <c r="C290" s="218"/>
      <c r="D290" s="216"/>
      <c r="E290" s="216"/>
      <c r="F290" s="217"/>
    </row>
    <row r="291">
      <c r="A291" s="216"/>
      <c r="B291" s="217"/>
      <c r="C291" s="218"/>
      <c r="D291" s="216"/>
      <c r="E291" s="216"/>
      <c r="F291" s="217"/>
    </row>
    <row r="292">
      <c r="A292" s="216"/>
      <c r="B292" s="217"/>
      <c r="C292" s="218"/>
      <c r="D292" s="216"/>
      <c r="E292" s="216"/>
      <c r="F292" s="217"/>
    </row>
    <row r="293">
      <c r="A293" s="216"/>
      <c r="B293" s="217"/>
      <c r="C293" s="218"/>
      <c r="D293" s="216"/>
      <c r="E293" s="216"/>
      <c r="F293" s="217"/>
    </row>
    <row r="294">
      <c r="A294" s="216"/>
      <c r="B294" s="217"/>
      <c r="C294" s="218"/>
      <c r="D294" s="216"/>
      <c r="E294" s="216"/>
      <c r="F294" s="217"/>
    </row>
    <row r="295">
      <c r="A295" s="216"/>
      <c r="B295" s="217"/>
      <c r="C295" s="218"/>
      <c r="D295" s="216"/>
      <c r="E295" s="216"/>
      <c r="F295" s="217"/>
    </row>
    <row r="296">
      <c r="A296" s="216"/>
      <c r="B296" s="217"/>
      <c r="C296" s="218"/>
      <c r="D296" s="216"/>
      <c r="E296" s="216"/>
      <c r="F296" s="217"/>
    </row>
    <row r="297">
      <c r="A297" s="216"/>
      <c r="B297" s="217"/>
      <c r="C297" s="218"/>
      <c r="D297" s="216"/>
      <c r="E297" s="216"/>
      <c r="F297" s="217"/>
    </row>
    <row r="298">
      <c r="A298" s="216"/>
      <c r="B298" s="217"/>
      <c r="C298" s="218"/>
      <c r="D298" s="216"/>
      <c r="E298" s="216"/>
      <c r="F298" s="217"/>
    </row>
    <row r="299">
      <c r="A299" s="216"/>
      <c r="B299" s="217"/>
      <c r="C299" s="218"/>
      <c r="D299" s="216"/>
      <c r="E299" s="216"/>
      <c r="F299" s="217"/>
    </row>
    <row r="300">
      <c r="A300" s="216"/>
      <c r="B300" s="217"/>
      <c r="C300" s="218"/>
      <c r="D300" s="216"/>
      <c r="E300" s="216"/>
      <c r="F300" s="217"/>
    </row>
    <row r="301">
      <c r="A301" s="216"/>
      <c r="B301" s="217"/>
      <c r="C301" s="218"/>
      <c r="D301" s="216"/>
      <c r="E301" s="216"/>
      <c r="F301" s="217"/>
    </row>
    <row r="302">
      <c r="A302" s="216"/>
      <c r="B302" s="217"/>
      <c r="C302" s="218"/>
      <c r="D302" s="216"/>
      <c r="E302" s="216"/>
      <c r="F302" s="217"/>
    </row>
    <row r="303">
      <c r="A303" s="216"/>
      <c r="B303" s="217"/>
      <c r="C303" s="218"/>
      <c r="D303" s="216"/>
      <c r="E303" s="216"/>
      <c r="F303" s="217"/>
    </row>
    <row r="304">
      <c r="A304" s="216"/>
      <c r="B304" s="217"/>
      <c r="C304" s="218"/>
      <c r="D304" s="216"/>
      <c r="E304" s="216"/>
      <c r="F304" s="217"/>
    </row>
    <row r="305">
      <c r="A305" s="216"/>
      <c r="B305" s="217"/>
      <c r="C305" s="218"/>
      <c r="D305" s="216"/>
      <c r="E305" s="216"/>
      <c r="F305" s="217"/>
    </row>
    <row r="306">
      <c r="A306" s="216"/>
      <c r="B306" s="217"/>
      <c r="C306" s="218"/>
      <c r="D306" s="216"/>
      <c r="E306" s="216"/>
      <c r="F306" s="217"/>
    </row>
    <row r="307">
      <c r="A307" s="216"/>
      <c r="B307" s="217"/>
      <c r="C307" s="218"/>
      <c r="D307" s="216"/>
      <c r="E307" s="216"/>
      <c r="F307" s="217"/>
    </row>
    <row r="308">
      <c r="A308" s="216"/>
      <c r="B308" s="217"/>
      <c r="C308" s="218"/>
      <c r="D308" s="216"/>
      <c r="E308" s="216"/>
      <c r="F308" s="217"/>
    </row>
    <row r="309">
      <c r="A309" s="216"/>
      <c r="B309" s="217"/>
      <c r="C309" s="218"/>
      <c r="D309" s="216"/>
      <c r="E309" s="216"/>
      <c r="F309" s="217"/>
    </row>
    <row r="310">
      <c r="A310" s="216"/>
      <c r="B310" s="217"/>
      <c r="C310" s="218"/>
      <c r="D310" s="216"/>
      <c r="E310" s="216"/>
      <c r="F310" s="217"/>
    </row>
    <row r="311">
      <c r="A311" s="216"/>
      <c r="B311" s="217"/>
      <c r="C311" s="218"/>
      <c r="D311" s="216"/>
      <c r="E311" s="216"/>
      <c r="F311" s="217"/>
    </row>
    <row r="312">
      <c r="A312" s="216"/>
      <c r="B312" s="217"/>
      <c r="C312" s="218"/>
      <c r="D312" s="216"/>
      <c r="E312" s="216"/>
      <c r="F312" s="217"/>
    </row>
    <row r="313">
      <c r="A313" s="216"/>
      <c r="B313" s="217"/>
      <c r="C313" s="218"/>
      <c r="D313" s="216"/>
      <c r="E313" s="216"/>
      <c r="F313" s="217"/>
    </row>
    <row r="314">
      <c r="A314" s="216"/>
      <c r="B314" s="217"/>
      <c r="C314" s="218"/>
      <c r="D314" s="216"/>
      <c r="E314" s="216"/>
      <c r="F314" s="217"/>
    </row>
    <row r="315">
      <c r="A315" s="216"/>
      <c r="B315" s="217"/>
      <c r="C315" s="218"/>
      <c r="D315" s="216"/>
      <c r="E315" s="216"/>
      <c r="F315" s="217"/>
    </row>
    <row r="316">
      <c r="A316" s="216"/>
      <c r="B316" s="217"/>
      <c r="C316" s="218"/>
      <c r="D316" s="216"/>
      <c r="E316" s="216"/>
      <c r="F316" s="217"/>
    </row>
    <row r="317">
      <c r="A317" s="216"/>
      <c r="B317" s="217"/>
      <c r="C317" s="218"/>
      <c r="D317" s="216"/>
      <c r="E317" s="216"/>
      <c r="F317" s="217"/>
    </row>
    <row r="318">
      <c r="A318" s="216"/>
      <c r="B318" s="217"/>
      <c r="C318" s="218"/>
      <c r="D318" s="216"/>
      <c r="E318" s="216"/>
      <c r="F318" s="217"/>
    </row>
    <row r="319">
      <c r="A319" s="216"/>
      <c r="B319" s="217"/>
      <c r="C319" s="218"/>
      <c r="D319" s="216"/>
      <c r="E319" s="216"/>
      <c r="F319" s="217"/>
    </row>
    <row r="320">
      <c r="A320" s="216"/>
      <c r="B320" s="217"/>
      <c r="C320" s="218"/>
      <c r="D320" s="216"/>
      <c r="E320" s="216"/>
      <c r="F320" s="217"/>
    </row>
    <row r="321">
      <c r="A321" s="216"/>
      <c r="B321" s="217"/>
      <c r="C321" s="218"/>
      <c r="D321" s="216"/>
      <c r="E321" s="216"/>
      <c r="F321" s="217"/>
    </row>
    <row r="322">
      <c r="A322" s="216"/>
      <c r="B322" s="217"/>
      <c r="C322" s="218"/>
      <c r="D322" s="216"/>
      <c r="E322" s="216"/>
      <c r="F322" s="217"/>
    </row>
    <row r="323">
      <c r="A323" s="216"/>
      <c r="B323" s="217"/>
      <c r="C323" s="218"/>
      <c r="D323" s="216"/>
      <c r="E323" s="216"/>
      <c r="F323" s="217"/>
    </row>
    <row r="324">
      <c r="A324" s="216"/>
      <c r="B324" s="217"/>
      <c r="C324" s="218"/>
      <c r="D324" s="216"/>
      <c r="E324" s="216"/>
      <c r="F324" s="217"/>
    </row>
    <row r="325">
      <c r="A325" s="216"/>
      <c r="B325" s="217"/>
      <c r="C325" s="218"/>
      <c r="D325" s="216"/>
      <c r="E325" s="216"/>
      <c r="F325" s="217"/>
    </row>
    <row r="326">
      <c r="A326" s="216"/>
      <c r="B326" s="217"/>
      <c r="C326" s="218"/>
      <c r="D326" s="216"/>
      <c r="E326" s="216"/>
      <c r="F326" s="217"/>
    </row>
    <row r="327">
      <c r="A327" s="216"/>
      <c r="B327" s="217"/>
      <c r="C327" s="218"/>
      <c r="D327" s="216"/>
      <c r="E327" s="216"/>
      <c r="F327" s="217"/>
    </row>
    <row r="328">
      <c r="A328" s="216"/>
      <c r="B328" s="217"/>
      <c r="C328" s="218"/>
      <c r="D328" s="216"/>
      <c r="E328" s="216"/>
      <c r="F328" s="217"/>
    </row>
    <row r="329">
      <c r="A329" s="216"/>
      <c r="B329" s="217"/>
      <c r="C329" s="218"/>
      <c r="D329" s="216"/>
      <c r="E329" s="216"/>
      <c r="F329" s="217"/>
    </row>
    <row r="330">
      <c r="A330" s="216"/>
      <c r="B330" s="217"/>
      <c r="C330" s="218"/>
      <c r="D330" s="216"/>
      <c r="E330" s="216"/>
      <c r="F330" s="217"/>
    </row>
    <row r="331">
      <c r="A331" s="216"/>
      <c r="B331" s="217"/>
      <c r="C331" s="218"/>
      <c r="D331" s="216"/>
      <c r="E331" s="216"/>
      <c r="F331" s="217"/>
    </row>
    <row r="332">
      <c r="A332" s="216"/>
      <c r="B332" s="217"/>
      <c r="C332" s="218"/>
      <c r="D332" s="216"/>
      <c r="E332" s="216"/>
      <c r="F332" s="217"/>
    </row>
    <row r="333">
      <c r="A333" s="216"/>
      <c r="B333" s="217"/>
      <c r="C333" s="218"/>
      <c r="D333" s="216"/>
      <c r="E333" s="216"/>
      <c r="F333" s="217"/>
    </row>
    <row r="334">
      <c r="A334" s="216"/>
      <c r="B334" s="217"/>
      <c r="C334" s="218"/>
      <c r="D334" s="216"/>
      <c r="E334" s="216"/>
      <c r="F334" s="217"/>
    </row>
    <row r="335">
      <c r="A335" s="216"/>
      <c r="B335" s="217"/>
      <c r="C335" s="218"/>
      <c r="D335" s="216"/>
      <c r="E335" s="216"/>
      <c r="F335" s="217"/>
    </row>
    <row r="336">
      <c r="A336" s="216"/>
      <c r="B336" s="217"/>
      <c r="C336" s="218"/>
      <c r="D336" s="216"/>
      <c r="E336" s="216"/>
      <c r="F336" s="217"/>
    </row>
    <row r="337">
      <c r="A337" s="216"/>
      <c r="B337" s="217"/>
      <c r="C337" s="218"/>
      <c r="D337" s="216"/>
      <c r="E337" s="216"/>
      <c r="F337" s="217"/>
    </row>
    <row r="338">
      <c r="A338" s="216"/>
      <c r="B338" s="217"/>
      <c r="C338" s="218"/>
      <c r="D338" s="216"/>
      <c r="E338" s="216"/>
      <c r="F338" s="217"/>
    </row>
    <row r="339">
      <c r="A339" s="216"/>
      <c r="B339" s="217"/>
      <c r="C339" s="218"/>
      <c r="D339" s="216"/>
      <c r="E339" s="216"/>
      <c r="F339" s="217"/>
    </row>
    <row r="340">
      <c r="A340" s="216"/>
      <c r="B340" s="217"/>
      <c r="C340" s="218"/>
      <c r="D340" s="216"/>
      <c r="E340" s="216"/>
      <c r="F340" s="217"/>
    </row>
    <row r="341">
      <c r="A341" s="216"/>
      <c r="B341" s="217"/>
      <c r="C341" s="218"/>
      <c r="D341" s="216"/>
      <c r="E341" s="216"/>
      <c r="F341" s="217"/>
    </row>
    <row r="342">
      <c r="A342" s="216"/>
      <c r="B342" s="217"/>
      <c r="C342" s="218"/>
      <c r="D342" s="216"/>
      <c r="E342" s="216"/>
      <c r="F342" s="217"/>
    </row>
    <row r="343">
      <c r="A343" s="216"/>
      <c r="B343" s="217"/>
      <c r="C343" s="218"/>
      <c r="D343" s="216"/>
      <c r="E343" s="216"/>
      <c r="F343" s="217"/>
    </row>
    <row r="344">
      <c r="A344" s="216"/>
      <c r="B344" s="217"/>
      <c r="C344" s="218"/>
      <c r="D344" s="216"/>
      <c r="E344" s="216"/>
      <c r="F344" s="217"/>
    </row>
    <row r="345">
      <c r="A345" s="216"/>
      <c r="B345" s="217"/>
      <c r="C345" s="218"/>
      <c r="D345" s="216"/>
      <c r="E345" s="216"/>
      <c r="F345" s="217"/>
    </row>
    <row r="346">
      <c r="A346" s="216"/>
      <c r="B346" s="217"/>
      <c r="C346" s="218"/>
      <c r="D346" s="216"/>
      <c r="E346" s="216"/>
      <c r="F346" s="217"/>
    </row>
    <row r="347">
      <c r="A347" s="216"/>
      <c r="B347" s="217"/>
      <c r="C347" s="218"/>
      <c r="D347" s="216"/>
      <c r="E347" s="216"/>
      <c r="F347" s="217"/>
    </row>
    <row r="348">
      <c r="A348" s="216"/>
      <c r="B348" s="217"/>
      <c r="C348" s="218"/>
      <c r="D348" s="216"/>
      <c r="E348" s="216"/>
      <c r="F348" s="217"/>
    </row>
    <row r="349">
      <c r="A349" s="216"/>
      <c r="B349" s="217"/>
      <c r="C349" s="218"/>
      <c r="D349" s="216"/>
      <c r="E349" s="216"/>
      <c r="F349" s="217"/>
    </row>
    <row r="350">
      <c r="A350" s="216"/>
      <c r="B350" s="217"/>
      <c r="C350" s="218"/>
      <c r="D350" s="216"/>
      <c r="E350" s="216"/>
      <c r="F350" s="217"/>
    </row>
    <row r="351">
      <c r="A351" s="216"/>
      <c r="B351" s="217"/>
      <c r="C351" s="218"/>
      <c r="D351" s="216"/>
      <c r="E351" s="216"/>
      <c r="F351" s="217"/>
    </row>
    <row r="352">
      <c r="A352" s="216"/>
      <c r="B352" s="217"/>
      <c r="C352" s="218"/>
      <c r="D352" s="216"/>
      <c r="E352" s="216"/>
      <c r="F352" s="217"/>
    </row>
    <row r="353">
      <c r="A353" s="216"/>
      <c r="B353" s="217"/>
      <c r="C353" s="218"/>
      <c r="D353" s="216"/>
      <c r="E353" s="216"/>
      <c r="F353" s="217"/>
    </row>
    <row r="354">
      <c r="A354" s="216"/>
      <c r="B354" s="217"/>
      <c r="C354" s="218"/>
      <c r="D354" s="216"/>
      <c r="E354" s="216"/>
      <c r="F354" s="217"/>
    </row>
    <row r="355">
      <c r="A355" s="216"/>
      <c r="B355" s="217"/>
      <c r="C355" s="218"/>
      <c r="D355" s="216"/>
      <c r="E355" s="216"/>
      <c r="F355" s="217"/>
    </row>
    <row r="356">
      <c r="A356" s="216"/>
      <c r="B356" s="217"/>
      <c r="C356" s="218"/>
      <c r="D356" s="216"/>
      <c r="E356" s="216"/>
      <c r="F356" s="217"/>
    </row>
    <row r="357">
      <c r="A357" s="216"/>
      <c r="B357" s="217"/>
      <c r="C357" s="218"/>
      <c r="D357" s="216"/>
      <c r="E357" s="216"/>
      <c r="F357" s="217"/>
    </row>
    <row r="358">
      <c r="A358" s="216"/>
      <c r="B358" s="217"/>
      <c r="C358" s="218"/>
      <c r="D358" s="216"/>
      <c r="E358" s="216"/>
      <c r="F358" s="217"/>
    </row>
    <row r="359">
      <c r="A359" s="216"/>
      <c r="B359" s="217"/>
      <c r="C359" s="218"/>
      <c r="D359" s="216"/>
      <c r="E359" s="216"/>
      <c r="F359" s="217"/>
    </row>
    <row r="360">
      <c r="A360" s="216"/>
      <c r="B360" s="217"/>
      <c r="C360" s="218"/>
      <c r="D360" s="216"/>
      <c r="E360" s="216"/>
      <c r="F360" s="217"/>
    </row>
    <row r="361">
      <c r="A361" s="216"/>
      <c r="B361" s="217"/>
      <c r="C361" s="218"/>
      <c r="D361" s="216"/>
      <c r="E361" s="216"/>
      <c r="F361" s="217"/>
    </row>
    <row r="362">
      <c r="A362" s="216"/>
      <c r="B362" s="217"/>
      <c r="C362" s="218"/>
      <c r="D362" s="216"/>
      <c r="E362" s="216"/>
      <c r="F362" s="217"/>
    </row>
    <row r="363">
      <c r="A363" s="216"/>
      <c r="B363" s="217"/>
      <c r="C363" s="218"/>
      <c r="D363" s="216"/>
      <c r="E363" s="216"/>
      <c r="F363" s="217"/>
    </row>
    <row r="364">
      <c r="A364" s="216"/>
      <c r="B364" s="217"/>
      <c r="C364" s="218"/>
      <c r="D364" s="216"/>
      <c r="E364" s="216"/>
      <c r="F364" s="217"/>
    </row>
    <row r="365">
      <c r="A365" s="216"/>
      <c r="B365" s="217"/>
      <c r="C365" s="218"/>
      <c r="D365" s="216"/>
      <c r="E365" s="216"/>
      <c r="F365" s="217"/>
    </row>
    <row r="366">
      <c r="A366" s="216"/>
      <c r="B366" s="217"/>
      <c r="C366" s="218"/>
      <c r="D366" s="216"/>
      <c r="E366" s="216"/>
      <c r="F366" s="217"/>
    </row>
    <row r="367">
      <c r="A367" s="216"/>
      <c r="B367" s="217"/>
      <c r="C367" s="218"/>
      <c r="D367" s="216"/>
      <c r="E367" s="216"/>
      <c r="F367" s="217"/>
    </row>
    <row r="368">
      <c r="A368" s="216"/>
      <c r="B368" s="217"/>
      <c r="C368" s="218"/>
      <c r="D368" s="216"/>
      <c r="E368" s="216"/>
      <c r="F368" s="217"/>
    </row>
    <row r="369">
      <c r="A369" s="216"/>
      <c r="B369" s="217"/>
      <c r="C369" s="218"/>
      <c r="D369" s="216"/>
      <c r="E369" s="216"/>
      <c r="F369" s="217"/>
    </row>
    <row r="370">
      <c r="A370" s="216"/>
      <c r="B370" s="217"/>
      <c r="C370" s="218"/>
      <c r="D370" s="216"/>
      <c r="E370" s="216"/>
      <c r="F370" s="217"/>
    </row>
    <row r="371">
      <c r="A371" s="216"/>
      <c r="B371" s="217"/>
      <c r="C371" s="218"/>
      <c r="D371" s="216"/>
      <c r="E371" s="216"/>
      <c r="F371" s="217"/>
    </row>
    <row r="372">
      <c r="A372" s="216"/>
      <c r="B372" s="217"/>
      <c r="C372" s="218"/>
      <c r="D372" s="216"/>
      <c r="E372" s="216"/>
      <c r="F372" s="217"/>
    </row>
    <row r="373">
      <c r="A373" s="216"/>
      <c r="B373" s="217"/>
      <c r="C373" s="218"/>
      <c r="D373" s="216"/>
      <c r="E373" s="216"/>
      <c r="F373" s="217"/>
    </row>
    <row r="374">
      <c r="A374" s="216"/>
      <c r="B374" s="217"/>
      <c r="C374" s="218"/>
      <c r="D374" s="216"/>
      <c r="E374" s="216"/>
      <c r="F374" s="217"/>
    </row>
    <row r="375">
      <c r="A375" s="216"/>
      <c r="B375" s="217"/>
      <c r="C375" s="218"/>
      <c r="D375" s="216"/>
      <c r="E375" s="216"/>
      <c r="F375" s="217"/>
    </row>
    <row r="376">
      <c r="A376" s="216"/>
      <c r="B376" s="217"/>
      <c r="C376" s="218"/>
      <c r="D376" s="216"/>
      <c r="E376" s="216"/>
      <c r="F376" s="217"/>
    </row>
    <row r="377">
      <c r="A377" s="216"/>
      <c r="B377" s="217"/>
      <c r="C377" s="218"/>
      <c r="D377" s="216"/>
      <c r="E377" s="216"/>
      <c r="F377" s="217"/>
    </row>
    <row r="378">
      <c r="A378" s="216"/>
      <c r="B378" s="217"/>
      <c r="C378" s="218"/>
      <c r="D378" s="216"/>
      <c r="E378" s="216"/>
      <c r="F378" s="217"/>
    </row>
    <row r="379">
      <c r="A379" s="216"/>
      <c r="B379" s="217"/>
      <c r="C379" s="218"/>
      <c r="D379" s="216"/>
      <c r="E379" s="216"/>
      <c r="F379" s="217"/>
    </row>
    <row r="380">
      <c r="A380" s="216"/>
      <c r="B380" s="217"/>
      <c r="C380" s="218"/>
      <c r="D380" s="216"/>
      <c r="E380" s="216"/>
      <c r="F380" s="217"/>
    </row>
    <row r="381">
      <c r="A381" s="216"/>
      <c r="B381" s="217"/>
      <c r="C381" s="218"/>
      <c r="D381" s="216"/>
      <c r="E381" s="216"/>
      <c r="F381" s="217"/>
    </row>
    <row r="382">
      <c r="A382" s="216"/>
      <c r="B382" s="217"/>
      <c r="C382" s="218"/>
      <c r="D382" s="216"/>
      <c r="E382" s="216"/>
      <c r="F382" s="217"/>
    </row>
    <row r="383">
      <c r="A383" s="216"/>
      <c r="B383" s="217"/>
      <c r="C383" s="218"/>
      <c r="D383" s="216"/>
      <c r="E383" s="216"/>
      <c r="F383" s="217"/>
    </row>
    <row r="384">
      <c r="A384" s="216"/>
      <c r="B384" s="217"/>
      <c r="C384" s="218"/>
      <c r="D384" s="216"/>
      <c r="E384" s="216"/>
      <c r="F384" s="217"/>
    </row>
    <row r="385">
      <c r="A385" s="216"/>
      <c r="B385" s="217"/>
      <c r="C385" s="218"/>
      <c r="D385" s="216"/>
      <c r="E385" s="216"/>
      <c r="F385" s="217"/>
    </row>
    <row r="386">
      <c r="A386" s="216"/>
      <c r="B386" s="217"/>
      <c r="C386" s="218"/>
      <c r="D386" s="216"/>
      <c r="E386" s="216"/>
      <c r="F386" s="217"/>
    </row>
    <row r="387">
      <c r="A387" s="216"/>
      <c r="B387" s="217"/>
      <c r="C387" s="218"/>
      <c r="D387" s="216"/>
      <c r="E387" s="216"/>
      <c r="F387" s="217"/>
    </row>
    <row r="388">
      <c r="A388" s="216"/>
      <c r="B388" s="217"/>
      <c r="C388" s="218"/>
      <c r="D388" s="216"/>
      <c r="E388" s="216"/>
      <c r="F388" s="217"/>
    </row>
    <row r="389">
      <c r="A389" s="216"/>
      <c r="B389" s="217"/>
      <c r="C389" s="218"/>
      <c r="D389" s="216"/>
      <c r="E389" s="216"/>
      <c r="F389" s="217"/>
    </row>
    <row r="390">
      <c r="A390" s="216"/>
      <c r="B390" s="217"/>
      <c r="C390" s="218"/>
      <c r="D390" s="216"/>
      <c r="E390" s="216"/>
      <c r="F390" s="217"/>
    </row>
    <row r="391">
      <c r="A391" s="216"/>
      <c r="B391" s="217"/>
      <c r="C391" s="218"/>
      <c r="D391" s="216"/>
      <c r="E391" s="216"/>
      <c r="F391" s="217"/>
    </row>
    <row r="392">
      <c r="A392" s="216"/>
      <c r="B392" s="217"/>
      <c r="C392" s="218"/>
      <c r="D392" s="216"/>
      <c r="E392" s="216"/>
      <c r="F392" s="217"/>
    </row>
    <row r="393">
      <c r="A393" s="216"/>
      <c r="B393" s="217"/>
      <c r="C393" s="218"/>
      <c r="D393" s="216"/>
      <c r="E393" s="216"/>
      <c r="F393" s="217"/>
    </row>
    <row r="394">
      <c r="A394" s="216"/>
      <c r="B394" s="217"/>
      <c r="C394" s="218"/>
      <c r="D394" s="216"/>
      <c r="E394" s="216"/>
      <c r="F394" s="217"/>
    </row>
    <row r="395">
      <c r="A395" s="216"/>
      <c r="B395" s="217"/>
      <c r="C395" s="218"/>
      <c r="D395" s="216"/>
      <c r="E395" s="216"/>
      <c r="F395" s="217"/>
    </row>
    <row r="396">
      <c r="A396" s="216"/>
      <c r="B396" s="217"/>
      <c r="C396" s="218"/>
      <c r="D396" s="216"/>
      <c r="E396" s="216"/>
      <c r="F396" s="217"/>
    </row>
    <row r="397">
      <c r="A397" s="216"/>
      <c r="B397" s="217"/>
      <c r="C397" s="218"/>
      <c r="D397" s="216"/>
      <c r="E397" s="216"/>
      <c r="F397" s="217"/>
    </row>
    <row r="398">
      <c r="A398" s="216"/>
      <c r="B398" s="217"/>
      <c r="C398" s="218"/>
      <c r="D398" s="216"/>
      <c r="E398" s="216"/>
      <c r="F398" s="217"/>
    </row>
    <row r="399">
      <c r="A399" s="216"/>
      <c r="B399" s="217"/>
      <c r="C399" s="218"/>
      <c r="D399" s="216"/>
      <c r="E399" s="216"/>
      <c r="F399" s="217"/>
    </row>
    <row r="400">
      <c r="A400" s="216"/>
      <c r="B400" s="217"/>
      <c r="C400" s="218"/>
      <c r="D400" s="216"/>
      <c r="E400" s="216"/>
      <c r="F400" s="217"/>
    </row>
    <row r="401">
      <c r="A401" s="216"/>
      <c r="B401" s="217"/>
      <c r="C401" s="218"/>
      <c r="D401" s="216"/>
      <c r="E401" s="216"/>
      <c r="F401" s="217"/>
    </row>
    <row r="402">
      <c r="A402" s="216"/>
      <c r="B402" s="217"/>
      <c r="C402" s="218"/>
      <c r="D402" s="216"/>
      <c r="E402" s="216"/>
      <c r="F402" s="217"/>
    </row>
    <row r="403">
      <c r="A403" s="216"/>
      <c r="B403" s="217"/>
      <c r="C403" s="218"/>
      <c r="D403" s="216"/>
      <c r="E403" s="216"/>
      <c r="F403" s="217"/>
    </row>
    <row r="404">
      <c r="A404" s="216"/>
      <c r="B404" s="217"/>
      <c r="C404" s="218"/>
      <c r="D404" s="216"/>
      <c r="E404" s="216"/>
      <c r="F404" s="217"/>
    </row>
    <row r="405">
      <c r="A405" s="216"/>
      <c r="B405" s="217"/>
      <c r="C405" s="218"/>
      <c r="D405" s="216"/>
      <c r="E405" s="216"/>
      <c r="F405" s="217"/>
    </row>
    <row r="406">
      <c r="A406" s="216"/>
      <c r="B406" s="217"/>
      <c r="C406" s="218"/>
      <c r="D406" s="216"/>
      <c r="E406" s="216"/>
      <c r="F406" s="217"/>
    </row>
    <row r="407">
      <c r="A407" s="216"/>
      <c r="B407" s="217"/>
      <c r="C407" s="218"/>
      <c r="D407" s="216"/>
      <c r="E407" s="216"/>
      <c r="F407" s="217"/>
    </row>
    <row r="408">
      <c r="A408" s="216"/>
      <c r="B408" s="217"/>
      <c r="C408" s="218"/>
      <c r="D408" s="216"/>
      <c r="E408" s="216"/>
      <c r="F408" s="217"/>
    </row>
    <row r="409">
      <c r="A409" s="216"/>
      <c r="B409" s="217"/>
      <c r="C409" s="218"/>
      <c r="D409" s="216"/>
      <c r="E409" s="216"/>
      <c r="F409" s="217"/>
    </row>
    <row r="410">
      <c r="A410" s="216"/>
      <c r="B410" s="217"/>
      <c r="C410" s="218"/>
      <c r="D410" s="216"/>
      <c r="E410" s="216"/>
      <c r="F410" s="217"/>
    </row>
    <row r="411">
      <c r="A411" s="216"/>
      <c r="B411" s="217"/>
      <c r="C411" s="218"/>
      <c r="D411" s="216"/>
      <c r="E411" s="216"/>
      <c r="F411" s="217"/>
    </row>
    <row r="412">
      <c r="A412" s="216"/>
      <c r="B412" s="217"/>
      <c r="C412" s="218"/>
      <c r="D412" s="216"/>
      <c r="E412" s="216"/>
      <c r="F412" s="217"/>
    </row>
    <row r="413">
      <c r="A413" s="216"/>
      <c r="B413" s="217"/>
      <c r="C413" s="218"/>
      <c r="D413" s="216"/>
      <c r="E413" s="216"/>
      <c r="F413" s="217"/>
    </row>
    <row r="414">
      <c r="A414" s="216"/>
      <c r="B414" s="217"/>
      <c r="C414" s="218"/>
      <c r="D414" s="216"/>
      <c r="E414" s="216"/>
      <c r="F414" s="217"/>
    </row>
    <row r="415">
      <c r="A415" s="216"/>
      <c r="B415" s="217"/>
      <c r="C415" s="218"/>
      <c r="D415" s="216"/>
      <c r="E415" s="216"/>
      <c r="F415" s="217"/>
    </row>
    <row r="416">
      <c r="A416" s="216"/>
      <c r="B416" s="217"/>
      <c r="C416" s="218"/>
      <c r="D416" s="216"/>
      <c r="E416" s="216"/>
      <c r="F416" s="217"/>
    </row>
    <row r="417">
      <c r="A417" s="216"/>
      <c r="B417" s="217"/>
      <c r="C417" s="218"/>
      <c r="D417" s="216"/>
      <c r="E417" s="216"/>
      <c r="F417" s="217"/>
    </row>
    <row r="418">
      <c r="A418" s="216"/>
      <c r="B418" s="217"/>
      <c r="C418" s="218"/>
      <c r="D418" s="216"/>
      <c r="E418" s="216"/>
      <c r="F418" s="217"/>
    </row>
    <row r="419">
      <c r="A419" s="216"/>
      <c r="B419" s="217"/>
      <c r="C419" s="218"/>
      <c r="D419" s="216"/>
      <c r="E419" s="216"/>
      <c r="F419" s="217"/>
    </row>
    <row r="420">
      <c r="A420" s="216"/>
      <c r="B420" s="217"/>
      <c r="C420" s="218"/>
      <c r="D420" s="216"/>
      <c r="E420" s="216"/>
      <c r="F420" s="217"/>
    </row>
    <row r="421">
      <c r="A421" s="216"/>
      <c r="B421" s="217"/>
      <c r="C421" s="218"/>
      <c r="D421" s="216"/>
      <c r="E421" s="216"/>
      <c r="F421" s="217"/>
    </row>
    <row r="422">
      <c r="A422" s="216"/>
      <c r="B422" s="217"/>
      <c r="C422" s="218"/>
      <c r="D422" s="216"/>
      <c r="E422" s="216"/>
      <c r="F422" s="217"/>
    </row>
    <row r="423">
      <c r="A423" s="216"/>
      <c r="B423" s="217"/>
      <c r="C423" s="218"/>
      <c r="D423" s="216"/>
      <c r="E423" s="216"/>
      <c r="F423" s="217"/>
    </row>
    <row r="424">
      <c r="A424" s="216"/>
      <c r="B424" s="217"/>
      <c r="C424" s="218"/>
      <c r="D424" s="216"/>
      <c r="E424" s="216"/>
      <c r="F424" s="217"/>
    </row>
    <row r="425">
      <c r="A425" s="216"/>
      <c r="B425" s="217"/>
      <c r="C425" s="218"/>
      <c r="D425" s="216"/>
      <c r="E425" s="216"/>
      <c r="F425" s="217"/>
    </row>
    <row r="426">
      <c r="A426" s="216"/>
      <c r="B426" s="217"/>
      <c r="C426" s="218"/>
      <c r="D426" s="216"/>
      <c r="E426" s="216"/>
      <c r="F426" s="217"/>
    </row>
    <row r="427">
      <c r="A427" s="216"/>
      <c r="B427" s="217"/>
      <c r="C427" s="218"/>
      <c r="D427" s="216"/>
      <c r="E427" s="216"/>
      <c r="F427" s="217"/>
    </row>
    <row r="428">
      <c r="A428" s="216"/>
      <c r="B428" s="217"/>
      <c r="C428" s="218"/>
      <c r="D428" s="216"/>
      <c r="E428" s="216"/>
      <c r="F428" s="217"/>
    </row>
    <row r="429">
      <c r="A429" s="216"/>
      <c r="B429" s="217"/>
      <c r="C429" s="218"/>
      <c r="D429" s="216"/>
      <c r="E429" s="216"/>
      <c r="F429" s="217"/>
    </row>
    <row r="430">
      <c r="A430" s="216"/>
      <c r="B430" s="217"/>
      <c r="C430" s="218"/>
      <c r="D430" s="216"/>
      <c r="E430" s="216"/>
      <c r="F430" s="217"/>
    </row>
    <row r="431">
      <c r="A431" s="216"/>
      <c r="B431" s="217"/>
      <c r="C431" s="218"/>
      <c r="D431" s="216"/>
      <c r="E431" s="216"/>
      <c r="F431" s="217"/>
    </row>
    <row r="432">
      <c r="A432" s="216"/>
      <c r="B432" s="217"/>
      <c r="C432" s="218"/>
      <c r="D432" s="216"/>
      <c r="E432" s="216"/>
      <c r="F432" s="217"/>
    </row>
    <row r="433">
      <c r="A433" s="216"/>
      <c r="B433" s="217"/>
      <c r="C433" s="218"/>
      <c r="D433" s="216"/>
      <c r="E433" s="216"/>
      <c r="F433" s="217"/>
    </row>
    <row r="434">
      <c r="A434" s="216"/>
      <c r="B434" s="217"/>
      <c r="C434" s="218"/>
      <c r="D434" s="216"/>
      <c r="E434" s="216"/>
      <c r="F434" s="217"/>
    </row>
    <row r="435">
      <c r="A435" s="216"/>
      <c r="B435" s="217"/>
      <c r="C435" s="218"/>
      <c r="D435" s="216"/>
      <c r="E435" s="216"/>
      <c r="F435" s="217"/>
    </row>
    <row r="436">
      <c r="A436" s="216"/>
      <c r="B436" s="217"/>
      <c r="C436" s="218"/>
      <c r="D436" s="216"/>
      <c r="E436" s="216"/>
      <c r="F436" s="217"/>
    </row>
    <row r="437">
      <c r="A437" s="216"/>
      <c r="B437" s="217"/>
      <c r="C437" s="218"/>
      <c r="D437" s="216"/>
      <c r="E437" s="216"/>
      <c r="F437" s="217"/>
    </row>
    <row r="438">
      <c r="A438" s="216"/>
      <c r="B438" s="217"/>
      <c r="C438" s="218"/>
      <c r="D438" s="216"/>
      <c r="E438" s="216"/>
      <c r="F438" s="217"/>
    </row>
    <row r="439">
      <c r="A439" s="216"/>
      <c r="B439" s="217"/>
      <c r="C439" s="218"/>
      <c r="D439" s="216"/>
      <c r="E439" s="216"/>
      <c r="F439" s="217"/>
    </row>
    <row r="440">
      <c r="A440" s="216"/>
      <c r="B440" s="217"/>
      <c r="C440" s="218"/>
      <c r="D440" s="216"/>
      <c r="E440" s="216"/>
      <c r="F440" s="217"/>
    </row>
    <row r="441">
      <c r="A441" s="216"/>
      <c r="B441" s="217"/>
      <c r="C441" s="218"/>
      <c r="D441" s="216"/>
      <c r="E441" s="216"/>
      <c r="F441" s="217"/>
    </row>
    <row r="442">
      <c r="A442" s="216"/>
      <c r="B442" s="217"/>
      <c r="C442" s="218"/>
      <c r="D442" s="216"/>
      <c r="E442" s="216"/>
      <c r="F442" s="217"/>
    </row>
    <row r="443">
      <c r="A443" s="216"/>
      <c r="B443" s="217"/>
      <c r="C443" s="218"/>
      <c r="D443" s="216"/>
      <c r="E443" s="216"/>
      <c r="F443" s="217"/>
    </row>
    <row r="444">
      <c r="A444" s="216"/>
      <c r="B444" s="217"/>
      <c r="C444" s="218"/>
      <c r="D444" s="216"/>
      <c r="E444" s="216"/>
      <c r="F444" s="217"/>
    </row>
    <row r="445">
      <c r="A445" s="216"/>
      <c r="B445" s="217"/>
      <c r="C445" s="218"/>
      <c r="D445" s="216"/>
      <c r="E445" s="216"/>
      <c r="F445" s="217"/>
    </row>
    <row r="446">
      <c r="A446" s="216"/>
      <c r="B446" s="217"/>
      <c r="C446" s="218"/>
      <c r="D446" s="216"/>
      <c r="E446" s="216"/>
      <c r="F446" s="217"/>
    </row>
    <row r="447">
      <c r="A447" s="216"/>
      <c r="B447" s="217"/>
      <c r="C447" s="218"/>
      <c r="D447" s="216"/>
      <c r="E447" s="216"/>
      <c r="F447" s="217"/>
    </row>
    <row r="448">
      <c r="A448" s="216"/>
      <c r="B448" s="217"/>
      <c r="C448" s="218"/>
      <c r="D448" s="216"/>
      <c r="E448" s="216"/>
      <c r="F448" s="217"/>
    </row>
    <row r="449">
      <c r="A449" s="216"/>
      <c r="B449" s="217"/>
      <c r="C449" s="218"/>
      <c r="D449" s="216"/>
      <c r="E449" s="216"/>
      <c r="F449" s="217"/>
    </row>
    <row r="450">
      <c r="A450" s="216"/>
      <c r="B450" s="217"/>
      <c r="C450" s="218"/>
      <c r="D450" s="216"/>
      <c r="E450" s="216"/>
      <c r="F450" s="217"/>
    </row>
    <row r="451">
      <c r="A451" s="216"/>
      <c r="B451" s="217"/>
      <c r="C451" s="218"/>
      <c r="D451" s="216"/>
      <c r="E451" s="216"/>
      <c r="F451" s="217"/>
    </row>
    <row r="452">
      <c r="A452" s="216"/>
      <c r="B452" s="217"/>
      <c r="C452" s="218"/>
      <c r="D452" s="216"/>
      <c r="E452" s="216"/>
      <c r="F452" s="217"/>
    </row>
    <row r="453">
      <c r="A453" s="216"/>
      <c r="B453" s="217"/>
      <c r="C453" s="218"/>
      <c r="D453" s="216"/>
      <c r="E453" s="216"/>
      <c r="F453" s="217"/>
    </row>
    <row r="454">
      <c r="A454" s="216"/>
      <c r="B454" s="217"/>
      <c r="C454" s="218"/>
      <c r="D454" s="216"/>
      <c r="E454" s="216"/>
      <c r="F454" s="217"/>
    </row>
    <row r="455">
      <c r="A455" s="216"/>
      <c r="B455" s="217"/>
      <c r="C455" s="218"/>
      <c r="D455" s="216"/>
      <c r="E455" s="216"/>
      <c r="F455" s="217"/>
    </row>
    <row r="456">
      <c r="A456" s="216"/>
      <c r="B456" s="217"/>
      <c r="C456" s="218"/>
      <c r="D456" s="216"/>
      <c r="E456" s="216"/>
      <c r="F456" s="217"/>
    </row>
    <row r="457">
      <c r="A457" s="216"/>
      <c r="B457" s="217"/>
      <c r="C457" s="218"/>
      <c r="D457" s="216"/>
      <c r="E457" s="216"/>
      <c r="F457" s="217"/>
    </row>
    <row r="458">
      <c r="A458" s="216"/>
      <c r="B458" s="217"/>
      <c r="C458" s="218"/>
      <c r="D458" s="216"/>
      <c r="E458" s="216"/>
      <c r="F458" s="217"/>
    </row>
    <row r="459">
      <c r="A459" s="216"/>
      <c r="B459" s="217"/>
      <c r="C459" s="218"/>
      <c r="D459" s="216"/>
      <c r="E459" s="216"/>
      <c r="F459" s="217"/>
    </row>
    <row r="460">
      <c r="A460" s="216"/>
      <c r="B460" s="217"/>
      <c r="C460" s="218"/>
      <c r="D460" s="216"/>
      <c r="E460" s="216"/>
      <c r="F460" s="217"/>
    </row>
    <row r="461">
      <c r="A461" s="216"/>
      <c r="B461" s="217"/>
      <c r="C461" s="218"/>
      <c r="D461" s="216"/>
      <c r="E461" s="216"/>
      <c r="F461" s="217"/>
    </row>
    <row r="462">
      <c r="A462" s="216"/>
      <c r="B462" s="217"/>
      <c r="C462" s="218"/>
      <c r="D462" s="216"/>
      <c r="E462" s="216"/>
      <c r="F462" s="217"/>
    </row>
    <row r="463">
      <c r="A463" s="216"/>
      <c r="B463" s="217"/>
      <c r="C463" s="218"/>
      <c r="D463" s="216"/>
      <c r="E463" s="216"/>
      <c r="F463" s="217"/>
    </row>
    <row r="464">
      <c r="A464" s="216"/>
      <c r="B464" s="217"/>
      <c r="C464" s="218"/>
      <c r="D464" s="216"/>
      <c r="E464" s="216"/>
      <c r="F464" s="217"/>
    </row>
    <row r="465">
      <c r="A465" s="216"/>
      <c r="B465" s="217"/>
      <c r="C465" s="218"/>
      <c r="D465" s="216"/>
      <c r="E465" s="216"/>
      <c r="F465" s="217"/>
    </row>
    <row r="466">
      <c r="A466" s="216"/>
      <c r="B466" s="217"/>
      <c r="C466" s="218"/>
      <c r="D466" s="216"/>
      <c r="E466" s="216"/>
      <c r="F466" s="217"/>
    </row>
    <row r="467">
      <c r="A467" s="216"/>
      <c r="B467" s="217"/>
      <c r="C467" s="218"/>
      <c r="D467" s="216"/>
      <c r="E467" s="216"/>
      <c r="F467" s="217"/>
    </row>
    <row r="468">
      <c r="A468" s="216"/>
      <c r="B468" s="217"/>
      <c r="C468" s="218"/>
      <c r="D468" s="216"/>
      <c r="E468" s="216"/>
      <c r="F468" s="217"/>
    </row>
    <row r="469">
      <c r="A469" s="216"/>
      <c r="B469" s="217"/>
      <c r="C469" s="218"/>
      <c r="D469" s="216"/>
      <c r="E469" s="216"/>
      <c r="F469" s="217"/>
    </row>
    <row r="470">
      <c r="A470" s="216"/>
      <c r="B470" s="217"/>
      <c r="C470" s="218"/>
      <c r="D470" s="216"/>
      <c r="E470" s="216"/>
      <c r="F470" s="217"/>
    </row>
    <row r="471">
      <c r="A471" s="216"/>
      <c r="B471" s="217"/>
      <c r="C471" s="218"/>
      <c r="D471" s="216"/>
      <c r="E471" s="216"/>
      <c r="F471" s="217"/>
    </row>
    <row r="472">
      <c r="A472" s="216"/>
      <c r="B472" s="217"/>
      <c r="C472" s="218"/>
      <c r="D472" s="216"/>
      <c r="E472" s="216"/>
      <c r="F472" s="217"/>
    </row>
    <row r="473">
      <c r="A473" s="216"/>
      <c r="B473" s="217"/>
      <c r="C473" s="218"/>
      <c r="D473" s="216"/>
      <c r="E473" s="216"/>
      <c r="F473" s="217"/>
    </row>
    <row r="474">
      <c r="A474" s="216"/>
      <c r="B474" s="217"/>
      <c r="C474" s="218"/>
      <c r="D474" s="216"/>
      <c r="E474" s="216"/>
      <c r="F474" s="217"/>
    </row>
    <row r="475">
      <c r="A475" s="216"/>
      <c r="B475" s="217"/>
      <c r="C475" s="218"/>
      <c r="D475" s="216"/>
      <c r="E475" s="216"/>
      <c r="F475" s="217"/>
    </row>
    <row r="476">
      <c r="A476" s="216"/>
      <c r="B476" s="217"/>
      <c r="C476" s="218"/>
      <c r="D476" s="216"/>
      <c r="E476" s="216"/>
      <c r="F476" s="217"/>
    </row>
    <row r="477">
      <c r="A477" s="216"/>
      <c r="B477" s="217"/>
      <c r="C477" s="218"/>
      <c r="D477" s="216"/>
      <c r="E477" s="216"/>
      <c r="F477" s="217"/>
    </row>
    <row r="478">
      <c r="A478" s="216"/>
      <c r="B478" s="217"/>
      <c r="C478" s="218"/>
      <c r="D478" s="216"/>
      <c r="E478" s="216"/>
      <c r="F478" s="217"/>
    </row>
    <row r="479">
      <c r="A479" s="216"/>
      <c r="B479" s="217"/>
      <c r="C479" s="218"/>
      <c r="D479" s="216"/>
      <c r="E479" s="216"/>
      <c r="F479" s="217"/>
    </row>
    <row r="480">
      <c r="A480" s="216"/>
      <c r="B480" s="217"/>
      <c r="C480" s="218"/>
      <c r="D480" s="216"/>
      <c r="E480" s="216"/>
      <c r="F480" s="217"/>
    </row>
    <row r="481">
      <c r="A481" s="216"/>
      <c r="B481" s="217"/>
      <c r="C481" s="218"/>
      <c r="D481" s="216"/>
      <c r="E481" s="216"/>
      <c r="F481" s="217"/>
    </row>
    <row r="482">
      <c r="A482" s="216"/>
      <c r="B482" s="217"/>
      <c r="C482" s="218"/>
      <c r="D482" s="216"/>
      <c r="E482" s="216"/>
      <c r="F482" s="217"/>
    </row>
    <row r="483">
      <c r="A483" s="216"/>
      <c r="B483" s="217"/>
      <c r="C483" s="218"/>
      <c r="D483" s="216"/>
      <c r="E483" s="216"/>
      <c r="F483" s="217"/>
    </row>
    <row r="484">
      <c r="A484" s="216"/>
      <c r="B484" s="217"/>
      <c r="C484" s="218"/>
      <c r="D484" s="216"/>
      <c r="E484" s="216"/>
      <c r="F484" s="217"/>
    </row>
    <row r="485">
      <c r="A485" s="216"/>
      <c r="B485" s="217"/>
      <c r="C485" s="218"/>
      <c r="D485" s="216"/>
      <c r="E485" s="216"/>
      <c r="F485" s="217"/>
    </row>
    <row r="486">
      <c r="A486" s="216"/>
      <c r="B486" s="217"/>
      <c r="C486" s="218"/>
      <c r="D486" s="216"/>
      <c r="E486" s="216"/>
      <c r="F486" s="217"/>
    </row>
    <row r="487">
      <c r="A487" s="216"/>
      <c r="B487" s="217"/>
      <c r="C487" s="218"/>
      <c r="D487" s="216"/>
      <c r="E487" s="216"/>
      <c r="F487" s="217"/>
    </row>
    <row r="488">
      <c r="A488" s="216"/>
      <c r="B488" s="217"/>
      <c r="C488" s="218"/>
      <c r="D488" s="216"/>
      <c r="E488" s="216"/>
      <c r="F488" s="217"/>
    </row>
    <row r="489">
      <c r="A489" s="216"/>
      <c r="B489" s="217"/>
      <c r="C489" s="218"/>
      <c r="D489" s="216"/>
      <c r="E489" s="216"/>
      <c r="F489" s="217"/>
    </row>
    <row r="490">
      <c r="A490" s="216"/>
      <c r="B490" s="217"/>
      <c r="C490" s="218"/>
      <c r="D490" s="216"/>
      <c r="E490" s="216"/>
      <c r="F490" s="217"/>
    </row>
    <row r="491">
      <c r="A491" s="216"/>
      <c r="B491" s="217"/>
      <c r="C491" s="218"/>
      <c r="D491" s="216"/>
      <c r="E491" s="216"/>
      <c r="F491" s="217"/>
    </row>
    <row r="492">
      <c r="A492" s="216"/>
      <c r="B492" s="217"/>
      <c r="C492" s="218"/>
      <c r="D492" s="216"/>
      <c r="E492" s="216"/>
      <c r="F492" s="217"/>
    </row>
    <row r="493">
      <c r="A493" s="216"/>
      <c r="B493" s="217"/>
      <c r="C493" s="218"/>
      <c r="D493" s="216"/>
      <c r="E493" s="216"/>
      <c r="F493" s="217"/>
    </row>
    <row r="494">
      <c r="A494" s="216"/>
      <c r="B494" s="217"/>
      <c r="C494" s="218"/>
      <c r="D494" s="216"/>
      <c r="E494" s="216"/>
      <c r="F494" s="217"/>
    </row>
    <row r="495">
      <c r="A495" s="216"/>
      <c r="B495" s="217"/>
      <c r="C495" s="218"/>
      <c r="D495" s="216"/>
      <c r="E495" s="216"/>
      <c r="F495" s="217"/>
    </row>
    <row r="496">
      <c r="A496" s="216"/>
      <c r="B496" s="217"/>
      <c r="C496" s="218"/>
      <c r="D496" s="216"/>
      <c r="E496" s="216"/>
      <c r="F496" s="217"/>
    </row>
    <row r="497">
      <c r="A497" s="216"/>
      <c r="B497" s="217"/>
      <c r="C497" s="218"/>
      <c r="D497" s="216"/>
      <c r="E497" s="216"/>
      <c r="F497" s="217"/>
    </row>
    <row r="498">
      <c r="A498" s="216"/>
      <c r="B498" s="217"/>
      <c r="C498" s="218"/>
      <c r="D498" s="216"/>
      <c r="E498" s="216"/>
      <c r="F498" s="217"/>
    </row>
    <row r="499">
      <c r="A499" s="216"/>
      <c r="B499" s="217"/>
      <c r="C499" s="218"/>
      <c r="D499" s="216"/>
      <c r="E499" s="216"/>
      <c r="F499" s="217"/>
    </row>
    <row r="500">
      <c r="A500" s="216"/>
      <c r="B500" s="217"/>
      <c r="C500" s="218"/>
      <c r="D500" s="216"/>
      <c r="E500" s="216"/>
      <c r="F500" s="217"/>
    </row>
    <row r="501">
      <c r="A501" s="216"/>
      <c r="B501" s="217"/>
      <c r="C501" s="218"/>
      <c r="D501" s="216"/>
      <c r="E501" s="216"/>
      <c r="F501" s="217"/>
    </row>
    <row r="502">
      <c r="A502" s="216"/>
      <c r="B502" s="217"/>
      <c r="C502" s="218"/>
      <c r="D502" s="216"/>
      <c r="E502" s="216"/>
      <c r="F502" s="217"/>
    </row>
    <row r="503">
      <c r="A503" s="216"/>
      <c r="B503" s="217"/>
      <c r="C503" s="218"/>
      <c r="D503" s="216"/>
      <c r="E503" s="216"/>
      <c r="F503" s="217"/>
    </row>
    <row r="504">
      <c r="A504" s="216"/>
      <c r="B504" s="217"/>
      <c r="C504" s="218"/>
      <c r="D504" s="216"/>
      <c r="E504" s="216"/>
      <c r="F504" s="217"/>
    </row>
    <row r="505">
      <c r="A505" s="216"/>
      <c r="B505" s="217"/>
      <c r="C505" s="218"/>
      <c r="D505" s="216"/>
      <c r="E505" s="216"/>
      <c r="F505" s="217"/>
    </row>
    <row r="506">
      <c r="A506" s="216"/>
      <c r="B506" s="217"/>
      <c r="C506" s="218"/>
      <c r="D506" s="216"/>
      <c r="E506" s="216"/>
      <c r="F506" s="217"/>
    </row>
    <row r="507">
      <c r="A507" s="216"/>
      <c r="B507" s="217"/>
      <c r="C507" s="218"/>
      <c r="D507" s="216"/>
      <c r="E507" s="216"/>
      <c r="F507" s="217"/>
    </row>
    <row r="508">
      <c r="A508" s="216"/>
      <c r="B508" s="217"/>
      <c r="C508" s="218"/>
      <c r="D508" s="216"/>
      <c r="E508" s="216"/>
      <c r="F508" s="217"/>
    </row>
    <row r="509">
      <c r="A509" s="216"/>
      <c r="B509" s="217"/>
      <c r="C509" s="218"/>
      <c r="D509" s="216"/>
      <c r="E509" s="216"/>
      <c r="F509" s="217"/>
    </row>
    <row r="510">
      <c r="A510" s="216"/>
      <c r="B510" s="217"/>
      <c r="C510" s="218"/>
      <c r="D510" s="216"/>
      <c r="E510" s="216"/>
      <c r="F510" s="217"/>
    </row>
    <row r="511">
      <c r="A511" s="216"/>
      <c r="B511" s="217"/>
      <c r="C511" s="218"/>
      <c r="D511" s="216"/>
      <c r="E511" s="216"/>
      <c r="F511" s="217"/>
    </row>
    <row r="512">
      <c r="A512" s="216"/>
      <c r="B512" s="217"/>
      <c r="C512" s="218"/>
      <c r="D512" s="216"/>
      <c r="E512" s="216"/>
      <c r="F512" s="217"/>
    </row>
    <row r="513">
      <c r="A513" s="216"/>
      <c r="B513" s="217"/>
      <c r="C513" s="218"/>
      <c r="D513" s="216"/>
      <c r="E513" s="216"/>
      <c r="F513" s="217"/>
    </row>
    <row r="514">
      <c r="A514" s="216"/>
      <c r="B514" s="217"/>
      <c r="C514" s="218"/>
      <c r="D514" s="216"/>
      <c r="E514" s="216"/>
      <c r="F514" s="217"/>
    </row>
    <row r="515">
      <c r="A515" s="216"/>
      <c r="B515" s="217"/>
      <c r="C515" s="218"/>
      <c r="D515" s="216"/>
      <c r="E515" s="216"/>
      <c r="F515" s="217"/>
    </row>
    <row r="516">
      <c r="A516" s="216"/>
      <c r="B516" s="217"/>
      <c r="C516" s="218"/>
      <c r="D516" s="216"/>
      <c r="E516" s="216"/>
      <c r="F516" s="217"/>
    </row>
    <row r="517">
      <c r="A517" s="216"/>
      <c r="B517" s="217"/>
      <c r="C517" s="218"/>
      <c r="D517" s="216"/>
      <c r="E517" s="216"/>
      <c r="F517" s="217"/>
    </row>
    <row r="518">
      <c r="A518" s="216"/>
      <c r="B518" s="217"/>
      <c r="C518" s="218"/>
      <c r="D518" s="216"/>
      <c r="E518" s="216"/>
      <c r="F518" s="217"/>
    </row>
    <row r="519">
      <c r="A519" s="216"/>
      <c r="B519" s="217"/>
      <c r="C519" s="218"/>
      <c r="D519" s="216"/>
      <c r="E519" s="216"/>
      <c r="F519" s="217"/>
    </row>
    <row r="520">
      <c r="A520" s="216"/>
      <c r="B520" s="217"/>
      <c r="C520" s="218"/>
      <c r="D520" s="216"/>
      <c r="E520" s="216"/>
      <c r="F520" s="217"/>
    </row>
    <row r="521">
      <c r="A521" s="216"/>
      <c r="B521" s="217"/>
      <c r="C521" s="218"/>
      <c r="D521" s="216"/>
      <c r="E521" s="216"/>
      <c r="F521" s="217"/>
    </row>
    <row r="522">
      <c r="A522" s="216"/>
      <c r="B522" s="217"/>
      <c r="C522" s="218"/>
      <c r="D522" s="216"/>
      <c r="E522" s="216"/>
      <c r="F522" s="217"/>
    </row>
    <row r="523">
      <c r="A523" s="216"/>
      <c r="B523" s="217"/>
      <c r="C523" s="218"/>
      <c r="D523" s="216"/>
      <c r="E523" s="216"/>
      <c r="F523" s="217"/>
    </row>
    <row r="524">
      <c r="A524" s="216"/>
      <c r="B524" s="217"/>
      <c r="C524" s="218"/>
      <c r="D524" s="216"/>
      <c r="E524" s="216"/>
      <c r="F524" s="217"/>
    </row>
    <row r="525">
      <c r="A525" s="216"/>
      <c r="B525" s="217"/>
      <c r="C525" s="218"/>
      <c r="D525" s="216"/>
      <c r="E525" s="216"/>
      <c r="F525" s="217"/>
    </row>
    <row r="526">
      <c r="A526" s="216"/>
      <c r="B526" s="217"/>
      <c r="C526" s="218"/>
      <c r="D526" s="216"/>
      <c r="E526" s="216"/>
      <c r="F526" s="217"/>
    </row>
    <row r="527">
      <c r="A527" s="216"/>
      <c r="B527" s="217"/>
      <c r="C527" s="218"/>
      <c r="D527" s="216"/>
      <c r="E527" s="216"/>
      <c r="F527" s="217"/>
    </row>
    <row r="528">
      <c r="A528" s="216"/>
      <c r="B528" s="217"/>
      <c r="C528" s="218"/>
      <c r="D528" s="216"/>
      <c r="E528" s="216"/>
      <c r="F528" s="217"/>
    </row>
    <row r="529">
      <c r="A529" s="216"/>
      <c r="B529" s="217"/>
      <c r="C529" s="218"/>
      <c r="D529" s="216"/>
      <c r="E529" s="216"/>
      <c r="F529" s="217"/>
    </row>
    <row r="530">
      <c r="A530" s="216"/>
      <c r="B530" s="217"/>
      <c r="C530" s="218"/>
      <c r="D530" s="216"/>
      <c r="E530" s="216"/>
      <c r="F530" s="217"/>
    </row>
    <row r="531">
      <c r="A531" s="216"/>
      <c r="B531" s="217"/>
      <c r="C531" s="218"/>
      <c r="D531" s="216"/>
      <c r="E531" s="216"/>
      <c r="F531" s="217"/>
    </row>
    <row r="532">
      <c r="A532" s="216"/>
      <c r="B532" s="217"/>
      <c r="C532" s="218"/>
      <c r="D532" s="216"/>
      <c r="E532" s="216"/>
      <c r="F532" s="217"/>
    </row>
    <row r="533">
      <c r="A533" s="216"/>
      <c r="B533" s="217"/>
      <c r="C533" s="218"/>
      <c r="D533" s="216"/>
      <c r="E533" s="216"/>
      <c r="F533" s="217"/>
    </row>
    <row r="534">
      <c r="A534" s="216"/>
      <c r="B534" s="217"/>
      <c r="C534" s="218"/>
      <c r="D534" s="216"/>
      <c r="E534" s="216"/>
      <c r="F534" s="217"/>
    </row>
    <row r="535">
      <c r="A535" s="216"/>
      <c r="B535" s="217"/>
      <c r="C535" s="218"/>
      <c r="D535" s="216"/>
      <c r="E535" s="216"/>
      <c r="F535" s="217"/>
    </row>
    <row r="536">
      <c r="A536" s="216"/>
      <c r="B536" s="217"/>
      <c r="C536" s="218"/>
      <c r="D536" s="216"/>
      <c r="E536" s="216"/>
      <c r="F536" s="217"/>
    </row>
    <row r="537">
      <c r="A537" s="216"/>
      <c r="B537" s="217"/>
      <c r="C537" s="218"/>
      <c r="D537" s="216"/>
      <c r="E537" s="216"/>
      <c r="F537" s="217"/>
    </row>
    <row r="538">
      <c r="A538" s="216"/>
      <c r="B538" s="217"/>
      <c r="C538" s="218"/>
      <c r="D538" s="216"/>
      <c r="E538" s="216"/>
      <c r="F538" s="217"/>
    </row>
    <row r="539">
      <c r="A539" s="216"/>
      <c r="B539" s="217"/>
      <c r="C539" s="218"/>
      <c r="D539" s="216"/>
      <c r="E539" s="216"/>
      <c r="F539" s="217"/>
    </row>
    <row r="540">
      <c r="A540" s="216"/>
      <c r="B540" s="217"/>
      <c r="C540" s="218"/>
      <c r="D540" s="216"/>
      <c r="E540" s="216"/>
      <c r="F540" s="217"/>
    </row>
    <row r="541">
      <c r="A541" s="216"/>
      <c r="B541" s="217"/>
      <c r="C541" s="218"/>
      <c r="D541" s="216"/>
      <c r="E541" s="216"/>
      <c r="F541" s="217"/>
    </row>
    <row r="542">
      <c r="A542" s="216"/>
      <c r="B542" s="217"/>
      <c r="C542" s="218"/>
      <c r="D542" s="216"/>
      <c r="E542" s="216"/>
      <c r="F542" s="217"/>
    </row>
    <row r="543">
      <c r="A543" s="216"/>
      <c r="B543" s="217"/>
      <c r="C543" s="218"/>
      <c r="D543" s="216"/>
      <c r="E543" s="216"/>
      <c r="F543" s="217"/>
    </row>
    <row r="544">
      <c r="A544" s="216"/>
      <c r="B544" s="217"/>
      <c r="C544" s="218"/>
      <c r="D544" s="216"/>
      <c r="E544" s="216"/>
      <c r="F544" s="217"/>
    </row>
    <row r="545">
      <c r="A545" s="216"/>
      <c r="B545" s="217"/>
      <c r="C545" s="218"/>
      <c r="D545" s="216"/>
      <c r="E545" s="216"/>
      <c r="F545" s="217"/>
    </row>
    <row r="546">
      <c r="A546" s="216"/>
      <c r="B546" s="217"/>
      <c r="C546" s="218"/>
      <c r="D546" s="216"/>
      <c r="E546" s="216"/>
      <c r="F546" s="217"/>
    </row>
    <row r="547">
      <c r="A547" s="216"/>
      <c r="B547" s="217"/>
      <c r="C547" s="218"/>
      <c r="D547" s="216"/>
      <c r="E547" s="216"/>
      <c r="F547" s="217"/>
    </row>
    <row r="548">
      <c r="A548" s="216"/>
      <c r="B548" s="217"/>
      <c r="C548" s="218"/>
      <c r="D548" s="216"/>
      <c r="E548" s="216"/>
      <c r="F548" s="217"/>
    </row>
    <row r="549">
      <c r="A549" s="216"/>
      <c r="B549" s="217"/>
      <c r="C549" s="218"/>
      <c r="D549" s="216"/>
      <c r="E549" s="216"/>
      <c r="F549" s="217"/>
    </row>
    <row r="550">
      <c r="A550" s="216"/>
      <c r="B550" s="217"/>
      <c r="C550" s="218"/>
      <c r="D550" s="216"/>
      <c r="E550" s="216"/>
      <c r="F550" s="217"/>
    </row>
    <row r="551">
      <c r="A551" s="216"/>
      <c r="B551" s="217"/>
      <c r="C551" s="218"/>
      <c r="D551" s="216"/>
      <c r="E551" s="216"/>
      <c r="F551" s="217"/>
    </row>
    <row r="552">
      <c r="A552" s="216"/>
      <c r="B552" s="217"/>
      <c r="C552" s="218"/>
      <c r="D552" s="216"/>
      <c r="E552" s="216"/>
      <c r="F552" s="217"/>
    </row>
    <row r="553">
      <c r="A553" s="216"/>
      <c r="B553" s="217"/>
      <c r="C553" s="218"/>
      <c r="D553" s="216"/>
      <c r="E553" s="216"/>
      <c r="F553" s="217"/>
    </row>
    <row r="554">
      <c r="A554" s="216"/>
      <c r="B554" s="217"/>
      <c r="C554" s="218"/>
      <c r="D554" s="216"/>
      <c r="E554" s="216"/>
      <c r="F554" s="217"/>
    </row>
    <row r="555">
      <c r="A555" s="216"/>
      <c r="B555" s="217"/>
      <c r="C555" s="218"/>
      <c r="D555" s="216"/>
      <c r="E555" s="216"/>
      <c r="F555" s="217"/>
    </row>
    <row r="556">
      <c r="A556" s="216"/>
      <c r="B556" s="217"/>
      <c r="C556" s="218"/>
      <c r="D556" s="216"/>
      <c r="E556" s="216"/>
      <c r="F556" s="217"/>
    </row>
    <row r="557">
      <c r="A557" s="216"/>
      <c r="B557" s="217"/>
      <c r="C557" s="218"/>
      <c r="D557" s="216"/>
      <c r="E557" s="216"/>
      <c r="F557" s="217"/>
    </row>
    <row r="558">
      <c r="A558" s="216"/>
      <c r="B558" s="217"/>
      <c r="C558" s="218"/>
      <c r="D558" s="216"/>
      <c r="E558" s="216"/>
      <c r="F558" s="217"/>
    </row>
    <row r="559">
      <c r="A559" s="216"/>
      <c r="B559" s="217"/>
      <c r="C559" s="218"/>
      <c r="D559" s="216"/>
      <c r="E559" s="216"/>
      <c r="F559" s="217"/>
    </row>
    <row r="560">
      <c r="A560" s="216"/>
      <c r="B560" s="217"/>
      <c r="C560" s="218"/>
      <c r="D560" s="216"/>
      <c r="E560" s="216"/>
      <c r="F560" s="217"/>
    </row>
    <row r="561">
      <c r="A561" s="216"/>
      <c r="B561" s="217"/>
      <c r="C561" s="218"/>
      <c r="D561" s="216"/>
      <c r="E561" s="216"/>
      <c r="F561" s="217"/>
    </row>
    <row r="562">
      <c r="A562" s="216"/>
      <c r="B562" s="217"/>
      <c r="C562" s="218"/>
      <c r="D562" s="216"/>
      <c r="E562" s="216"/>
      <c r="F562" s="217"/>
    </row>
    <row r="563">
      <c r="A563" s="216"/>
      <c r="B563" s="217"/>
      <c r="C563" s="218"/>
      <c r="D563" s="216"/>
      <c r="E563" s="216"/>
      <c r="F563" s="217"/>
    </row>
    <row r="564">
      <c r="A564" s="216"/>
      <c r="B564" s="217"/>
      <c r="C564" s="218"/>
      <c r="D564" s="216"/>
      <c r="E564" s="216"/>
      <c r="F564" s="217"/>
    </row>
    <row r="565">
      <c r="A565" s="216"/>
      <c r="B565" s="217"/>
      <c r="C565" s="218"/>
      <c r="D565" s="216"/>
      <c r="E565" s="216"/>
      <c r="F565" s="217"/>
    </row>
    <row r="566">
      <c r="A566" s="216"/>
      <c r="B566" s="217"/>
      <c r="C566" s="218"/>
      <c r="D566" s="216"/>
      <c r="E566" s="216"/>
      <c r="F566" s="217"/>
    </row>
    <row r="567">
      <c r="A567" s="216"/>
      <c r="B567" s="217"/>
      <c r="C567" s="218"/>
      <c r="D567" s="216"/>
      <c r="E567" s="216"/>
      <c r="F567" s="217"/>
    </row>
    <row r="568">
      <c r="A568" s="216"/>
      <c r="B568" s="217"/>
      <c r="C568" s="218"/>
      <c r="D568" s="216"/>
      <c r="E568" s="216"/>
      <c r="F568" s="217"/>
    </row>
    <row r="569">
      <c r="A569" s="216"/>
      <c r="B569" s="217"/>
      <c r="C569" s="218"/>
      <c r="D569" s="216"/>
      <c r="E569" s="216"/>
      <c r="F569" s="217"/>
    </row>
    <row r="570">
      <c r="A570" s="216"/>
      <c r="B570" s="217"/>
      <c r="C570" s="218"/>
      <c r="D570" s="216"/>
      <c r="E570" s="216"/>
      <c r="F570" s="217"/>
    </row>
    <row r="571">
      <c r="A571" s="216"/>
      <c r="B571" s="217"/>
      <c r="C571" s="218"/>
      <c r="D571" s="216"/>
      <c r="E571" s="216"/>
      <c r="F571" s="217"/>
    </row>
    <row r="572">
      <c r="A572" s="216"/>
      <c r="B572" s="217"/>
      <c r="C572" s="218"/>
      <c r="D572" s="216"/>
      <c r="E572" s="216"/>
      <c r="F572" s="217"/>
    </row>
    <row r="573">
      <c r="A573" s="216"/>
      <c r="B573" s="217"/>
      <c r="C573" s="218"/>
      <c r="D573" s="216"/>
      <c r="E573" s="216"/>
      <c r="F573" s="217"/>
    </row>
    <row r="574">
      <c r="A574" s="216"/>
      <c r="B574" s="217"/>
      <c r="C574" s="218"/>
      <c r="D574" s="216"/>
      <c r="E574" s="216"/>
      <c r="F574" s="217"/>
    </row>
    <row r="575">
      <c r="A575" s="216"/>
      <c r="B575" s="217"/>
      <c r="C575" s="218"/>
      <c r="D575" s="216"/>
      <c r="E575" s="216"/>
      <c r="F575" s="217"/>
    </row>
    <row r="576">
      <c r="A576" s="216"/>
      <c r="B576" s="217"/>
      <c r="C576" s="218"/>
      <c r="D576" s="216"/>
      <c r="E576" s="216"/>
      <c r="F576" s="217"/>
    </row>
    <row r="577">
      <c r="A577" s="216"/>
      <c r="B577" s="217"/>
      <c r="C577" s="218"/>
      <c r="D577" s="216"/>
      <c r="E577" s="216"/>
      <c r="F577" s="217"/>
    </row>
    <row r="578">
      <c r="A578" s="216"/>
      <c r="B578" s="217"/>
      <c r="C578" s="218"/>
      <c r="D578" s="216"/>
      <c r="E578" s="216"/>
      <c r="F578" s="217"/>
    </row>
    <row r="579">
      <c r="A579" s="216"/>
      <c r="B579" s="217"/>
      <c r="C579" s="218"/>
      <c r="D579" s="216"/>
      <c r="E579" s="216"/>
      <c r="F579" s="217"/>
    </row>
    <row r="580">
      <c r="A580" s="216"/>
      <c r="B580" s="217"/>
      <c r="C580" s="218"/>
      <c r="D580" s="216"/>
      <c r="E580" s="216"/>
      <c r="F580" s="217"/>
    </row>
    <row r="581">
      <c r="A581" s="216"/>
      <c r="B581" s="217"/>
      <c r="C581" s="218"/>
      <c r="D581" s="216"/>
      <c r="E581" s="216"/>
      <c r="F581" s="217"/>
    </row>
    <row r="582">
      <c r="A582" s="216"/>
      <c r="B582" s="217"/>
      <c r="C582" s="218"/>
      <c r="D582" s="216"/>
      <c r="E582" s="216"/>
      <c r="F582" s="217"/>
    </row>
    <row r="583">
      <c r="A583" s="216"/>
      <c r="B583" s="217"/>
      <c r="C583" s="218"/>
      <c r="D583" s="216"/>
      <c r="E583" s="216"/>
      <c r="F583" s="217"/>
    </row>
    <row r="584">
      <c r="A584" s="216"/>
      <c r="B584" s="217"/>
      <c r="C584" s="218"/>
      <c r="D584" s="216"/>
      <c r="E584" s="216"/>
      <c r="F584" s="217"/>
    </row>
    <row r="585">
      <c r="A585" s="216"/>
      <c r="B585" s="217"/>
      <c r="C585" s="218"/>
      <c r="D585" s="216"/>
      <c r="E585" s="216"/>
      <c r="F585" s="217"/>
    </row>
    <row r="586">
      <c r="A586" s="216"/>
      <c r="B586" s="217"/>
      <c r="C586" s="218"/>
      <c r="D586" s="216"/>
      <c r="E586" s="216"/>
      <c r="F586" s="217"/>
    </row>
    <row r="587">
      <c r="A587" s="216"/>
      <c r="B587" s="217"/>
      <c r="C587" s="218"/>
      <c r="D587" s="216"/>
      <c r="E587" s="216"/>
      <c r="F587" s="217"/>
    </row>
    <row r="588">
      <c r="A588" s="216"/>
      <c r="B588" s="217"/>
      <c r="C588" s="218"/>
      <c r="D588" s="216"/>
      <c r="E588" s="216"/>
      <c r="F588" s="217"/>
    </row>
    <row r="589">
      <c r="A589" s="216"/>
      <c r="B589" s="217"/>
      <c r="C589" s="218"/>
      <c r="D589" s="216"/>
      <c r="E589" s="216"/>
      <c r="F589" s="217"/>
    </row>
    <row r="590">
      <c r="A590" s="216"/>
      <c r="B590" s="217"/>
      <c r="C590" s="218"/>
      <c r="D590" s="216"/>
      <c r="E590" s="216"/>
      <c r="F590" s="217"/>
    </row>
    <row r="591">
      <c r="A591" s="216"/>
      <c r="B591" s="217"/>
      <c r="C591" s="218"/>
      <c r="D591" s="216"/>
      <c r="E591" s="216"/>
      <c r="F591" s="217"/>
    </row>
    <row r="592">
      <c r="A592" s="216"/>
      <c r="B592" s="217"/>
      <c r="C592" s="218"/>
      <c r="D592" s="216"/>
      <c r="E592" s="216"/>
      <c r="F592" s="217"/>
    </row>
    <row r="593">
      <c r="A593" s="216"/>
      <c r="B593" s="217"/>
      <c r="C593" s="218"/>
      <c r="D593" s="216"/>
      <c r="E593" s="216"/>
      <c r="F593" s="217"/>
    </row>
    <row r="594">
      <c r="A594" s="216"/>
      <c r="B594" s="217"/>
      <c r="C594" s="218"/>
      <c r="D594" s="216"/>
      <c r="E594" s="216"/>
      <c r="F594" s="217"/>
    </row>
    <row r="595">
      <c r="A595" s="216"/>
      <c r="B595" s="217"/>
      <c r="C595" s="218"/>
      <c r="D595" s="216"/>
      <c r="E595" s="216"/>
      <c r="F595" s="217"/>
    </row>
    <row r="596">
      <c r="A596" s="216"/>
      <c r="B596" s="217"/>
      <c r="C596" s="218"/>
      <c r="D596" s="216"/>
      <c r="E596" s="216"/>
      <c r="F596" s="217"/>
    </row>
    <row r="597">
      <c r="A597" s="216"/>
      <c r="B597" s="217"/>
      <c r="C597" s="218"/>
      <c r="D597" s="216"/>
      <c r="E597" s="216"/>
      <c r="F597" s="217"/>
    </row>
    <row r="598">
      <c r="A598" s="216"/>
      <c r="B598" s="217"/>
      <c r="C598" s="218"/>
      <c r="D598" s="216"/>
      <c r="E598" s="216"/>
      <c r="F598" s="217"/>
    </row>
    <row r="599">
      <c r="A599" s="216"/>
      <c r="B599" s="217"/>
      <c r="C599" s="218"/>
      <c r="D599" s="216"/>
      <c r="E599" s="216"/>
      <c r="F599" s="217"/>
    </row>
    <row r="600">
      <c r="A600" s="216"/>
      <c r="B600" s="217"/>
      <c r="C600" s="218"/>
      <c r="D600" s="216"/>
      <c r="E600" s="216"/>
      <c r="F600" s="217"/>
    </row>
    <row r="601">
      <c r="A601" s="216"/>
      <c r="B601" s="217"/>
      <c r="C601" s="218"/>
      <c r="D601" s="216"/>
      <c r="E601" s="216"/>
      <c r="F601" s="217"/>
    </row>
    <row r="602">
      <c r="A602" s="216"/>
      <c r="B602" s="217"/>
      <c r="C602" s="218"/>
      <c r="D602" s="216"/>
      <c r="E602" s="216"/>
      <c r="F602" s="217"/>
    </row>
    <row r="603">
      <c r="A603" s="216"/>
      <c r="B603" s="217"/>
      <c r="C603" s="218"/>
      <c r="D603" s="216"/>
      <c r="E603" s="216"/>
      <c r="F603" s="217"/>
    </row>
    <row r="604">
      <c r="A604" s="216"/>
      <c r="B604" s="217"/>
      <c r="C604" s="218"/>
      <c r="D604" s="216"/>
      <c r="E604" s="216"/>
      <c r="F604" s="217"/>
    </row>
    <row r="605">
      <c r="A605" s="216"/>
      <c r="B605" s="217"/>
      <c r="C605" s="218"/>
      <c r="D605" s="216"/>
      <c r="E605" s="216"/>
      <c r="F605" s="217"/>
    </row>
    <row r="606">
      <c r="A606" s="216"/>
      <c r="B606" s="217"/>
      <c r="C606" s="218"/>
      <c r="D606" s="216"/>
      <c r="E606" s="216"/>
      <c r="F606" s="217"/>
    </row>
    <row r="607">
      <c r="A607" s="216"/>
      <c r="B607" s="217"/>
      <c r="C607" s="218"/>
      <c r="D607" s="216"/>
      <c r="E607" s="216"/>
      <c r="F607" s="217"/>
    </row>
    <row r="608">
      <c r="A608" s="216"/>
      <c r="B608" s="217"/>
      <c r="C608" s="218"/>
      <c r="D608" s="216"/>
      <c r="E608" s="216"/>
      <c r="F608" s="217"/>
    </row>
    <row r="609">
      <c r="A609" s="216"/>
      <c r="B609" s="217"/>
      <c r="C609" s="218"/>
      <c r="D609" s="216"/>
      <c r="E609" s="216"/>
      <c r="F609" s="217"/>
    </row>
    <row r="610">
      <c r="A610" s="216"/>
      <c r="B610" s="217"/>
      <c r="C610" s="218"/>
      <c r="D610" s="216"/>
      <c r="E610" s="216"/>
      <c r="F610" s="217"/>
    </row>
    <row r="611">
      <c r="A611" s="216"/>
      <c r="B611" s="217"/>
      <c r="C611" s="218"/>
      <c r="D611" s="216"/>
      <c r="E611" s="216"/>
      <c r="F611" s="217"/>
    </row>
    <row r="612">
      <c r="A612" s="216"/>
      <c r="B612" s="217"/>
      <c r="C612" s="218"/>
      <c r="D612" s="216"/>
      <c r="E612" s="216"/>
      <c r="F612" s="217"/>
    </row>
    <row r="613">
      <c r="A613" s="216"/>
      <c r="B613" s="217"/>
      <c r="C613" s="218"/>
      <c r="D613" s="216"/>
      <c r="E613" s="216"/>
      <c r="F613" s="217"/>
    </row>
    <row r="614">
      <c r="A614" s="216"/>
      <c r="B614" s="217"/>
      <c r="C614" s="218"/>
      <c r="D614" s="216"/>
      <c r="E614" s="216"/>
      <c r="F614" s="217"/>
    </row>
    <row r="615">
      <c r="A615" s="216"/>
      <c r="B615" s="217"/>
      <c r="C615" s="218"/>
      <c r="D615" s="216"/>
      <c r="E615" s="216"/>
      <c r="F615" s="217"/>
    </row>
    <row r="616">
      <c r="A616" s="216"/>
      <c r="B616" s="217"/>
      <c r="C616" s="218"/>
      <c r="D616" s="216"/>
      <c r="E616" s="216"/>
      <c r="F616" s="217"/>
    </row>
    <row r="617">
      <c r="A617" s="216"/>
      <c r="B617" s="217"/>
      <c r="C617" s="218"/>
      <c r="D617" s="216"/>
      <c r="E617" s="216"/>
      <c r="F617" s="217"/>
    </row>
    <row r="618">
      <c r="A618" s="216"/>
      <c r="B618" s="217"/>
      <c r="C618" s="218"/>
      <c r="D618" s="216"/>
      <c r="E618" s="216"/>
      <c r="F618" s="217"/>
    </row>
    <row r="619">
      <c r="A619" s="216"/>
      <c r="B619" s="217"/>
      <c r="C619" s="218"/>
      <c r="D619" s="216"/>
      <c r="E619" s="216"/>
      <c r="F619" s="217"/>
    </row>
    <row r="620">
      <c r="A620" s="216"/>
      <c r="B620" s="217"/>
      <c r="C620" s="218"/>
      <c r="D620" s="216"/>
      <c r="E620" s="216"/>
      <c r="F620" s="217"/>
    </row>
    <row r="621">
      <c r="A621" s="216"/>
      <c r="B621" s="217"/>
      <c r="C621" s="218"/>
      <c r="D621" s="216"/>
      <c r="E621" s="216"/>
      <c r="F621" s="217"/>
    </row>
    <row r="622">
      <c r="A622" s="216"/>
      <c r="B622" s="217"/>
      <c r="C622" s="218"/>
      <c r="D622" s="216"/>
      <c r="E622" s="216"/>
      <c r="F622" s="217"/>
    </row>
    <row r="623">
      <c r="A623" s="216"/>
      <c r="B623" s="217"/>
      <c r="C623" s="218"/>
      <c r="D623" s="216"/>
      <c r="E623" s="216"/>
      <c r="F623" s="217"/>
    </row>
    <row r="624">
      <c r="A624" s="216"/>
      <c r="B624" s="217"/>
      <c r="C624" s="218"/>
      <c r="D624" s="216"/>
      <c r="E624" s="216"/>
      <c r="F624" s="217"/>
    </row>
    <row r="625">
      <c r="A625" s="216"/>
      <c r="B625" s="217"/>
      <c r="C625" s="218"/>
      <c r="D625" s="216"/>
      <c r="E625" s="216"/>
      <c r="F625" s="217"/>
    </row>
    <row r="626">
      <c r="A626" s="216"/>
      <c r="B626" s="217"/>
      <c r="C626" s="218"/>
      <c r="D626" s="216"/>
      <c r="E626" s="216"/>
      <c r="F626" s="217"/>
    </row>
    <row r="627">
      <c r="A627" s="216"/>
      <c r="B627" s="217"/>
      <c r="C627" s="218"/>
      <c r="D627" s="216"/>
      <c r="E627" s="216"/>
      <c r="F627" s="217"/>
    </row>
    <row r="628">
      <c r="A628" s="216"/>
      <c r="B628" s="217"/>
      <c r="C628" s="218"/>
      <c r="D628" s="216"/>
      <c r="E628" s="216"/>
      <c r="F628" s="217"/>
    </row>
    <row r="629">
      <c r="A629" s="216"/>
      <c r="B629" s="217"/>
      <c r="C629" s="218"/>
      <c r="D629" s="216"/>
      <c r="E629" s="216"/>
      <c r="F629" s="217"/>
    </row>
    <row r="630">
      <c r="A630" s="216"/>
      <c r="B630" s="217"/>
      <c r="C630" s="218"/>
      <c r="D630" s="216"/>
      <c r="E630" s="216"/>
      <c r="F630" s="217"/>
    </row>
    <row r="631">
      <c r="A631" s="216"/>
      <c r="B631" s="217"/>
      <c r="C631" s="218"/>
      <c r="D631" s="216"/>
      <c r="E631" s="216"/>
      <c r="F631" s="217"/>
    </row>
    <row r="632">
      <c r="A632" s="216"/>
      <c r="B632" s="217"/>
      <c r="C632" s="218"/>
      <c r="D632" s="216"/>
      <c r="E632" s="216"/>
      <c r="F632" s="217"/>
    </row>
    <row r="633">
      <c r="A633" s="216"/>
      <c r="B633" s="217"/>
      <c r="C633" s="218"/>
      <c r="D633" s="216"/>
      <c r="E633" s="216"/>
      <c r="F633" s="217"/>
    </row>
    <row r="634">
      <c r="A634" s="216"/>
      <c r="B634" s="217"/>
      <c r="C634" s="218"/>
      <c r="D634" s="216"/>
      <c r="E634" s="216"/>
      <c r="F634" s="217"/>
    </row>
    <row r="635">
      <c r="A635" s="216"/>
      <c r="B635" s="217"/>
      <c r="C635" s="218"/>
      <c r="D635" s="216"/>
      <c r="E635" s="216"/>
      <c r="F635" s="217"/>
    </row>
    <row r="636">
      <c r="A636" s="216"/>
      <c r="B636" s="217"/>
      <c r="C636" s="218"/>
      <c r="D636" s="216"/>
      <c r="E636" s="216"/>
      <c r="F636" s="217"/>
    </row>
    <row r="637">
      <c r="A637" s="216"/>
      <c r="B637" s="217"/>
      <c r="C637" s="218"/>
      <c r="D637" s="216"/>
      <c r="E637" s="216"/>
      <c r="F637" s="217"/>
    </row>
    <row r="638">
      <c r="A638" s="216"/>
      <c r="B638" s="217"/>
      <c r="C638" s="218"/>
      <c r="D638" s="216"/>
      <c r="E638" s="216"/>
      <c r="F638" s="217"/>
    </row>
    <row r="639">
      <c r="A639" s="216"/>
      <c r="B639" s="217"/>
      <c r="C639" s="218"/>
      <c r="D639" s="216"/>
      <c r="E639" s="216"/>
      <c r="F639" s="217"/>
    </row>
    <row r="640">
      <c r="A640" s="216"/>
      <c r="B640" s="217"/>
      <c r="C640" s="218"/>
      <c r="D640" s="216"/>
      <c r="E640" s="216"/>
      <c r="F640" s="217"/>
    </row>
    <row r="641">
      <c r="A641" s="216"/>
      <c r="B641" s="217"/>
      <c r="C641" s="218"/>
      <c r="D641" s="216"/>
      <c r="E641" s="216"/>
      <c r="F641" s="217"/>
    </row>
    <row r="642">
      <c r="A642" s="216"/>
      <c r="B642" s="217"/>
      <c r="C642" s="218"/>
      <c r="D642" s="216"/>
      <c r="E642" s="216"/>
      <c r="F642" s="217"/>
    </row>
    <row r="643">
      <c r="A643" s="216"/>
      <c r="B643" s="217"/>
      <c r="C643" s="218"/>
      <c r="D643" s="216"/>
      <c r="E643" s="216"/>
      <c r="F643" s="217"/>
    </row>
    <row r="644">
      <c r="A644" s="216"/>
      <c r="B644" s="217"/>
      <c r="C644" s="218"/>
      <c r="D644" s="216"/>
      <c r="E644" s="216"/>
      <c r="F644" s="217"/>
    </row>
    <row r="645">
      <c r="A645" s="216"/>
      <c r="B645" s="217"/>
      <c r="C645" s="218"/>
      <c r="D645" s="216"/>
      <c r="E645" s="216"/>
      <c r="F645" s="217"/>
    </row>
    <row r="646">
      <c r="A646" s="216"/>
      <c r="B646" s="217"/>
      <c r="C646" s="218"/>
      <c r="D646" s="216"/>
      <c r="E646" s="216"/>
      <c r="F646" s="217"/>
    </row>
    <row r="647">
      <c r="A647" s="216"/>
      <c r="B647" s="217"/>
      <c r="C647" s="218"/>
      <c r="D647" s="216"/>
      <c r="E647" s="216"/>
      <c r="F647" s="217"/>
    </row>
    <row r="648">
      <c r="A648" s="216"/>
      <c r="B648" s="217"/>
      <c r="C648" s="218"/>
      <c r="D648" s="216"/>
      <c r="E648" s="216"/>
      <c r="F648" s="217"/>
    </row>
    <row r="649">
      <c r="A649" s="216"/>
      <c r="B649" s="217"/>
      <c r="C649" s="218"/>
      <c r="D649" s="216"/>
      <c r="E649" s="216"/>
      <c r="F649" s="217"/>
    </row>
    <row r="650">
      <c r="A650" s="216"/>
      <c r="B650" s="217"/>
      <c r="C650" s="218"/>
      <c r="D650" s="216"/>
      <c r="E650" s="216"/>
      <c r="F650" s="217"/>
    </row>
    <row r="651">
      <c r="A651" s="216"/>
      <c r="B651" s="217"/>
      <c r="C651" s="218"/>
      <c r="D651" s="216"/>
      <c r="E651" s="216"/>
      <c r="F651" s="217"/>
    </row>
    <row r="652">
      <c r="A652" s="216"/>
      <c r="B652" s="217"/>
      <c r="C652" s="218"/>
      <c r="D652" s="216"/>
      <c r="E652" s="216"/>
      <c r="F652" s="217"/>
    </row>
    <row r="653">
      <c r="A653" s="216"/>
      <c r="B653" s="217"/>
      <c r="C653" s="218"/>
      <c r="D653" s="216"/>
      <c r="E653" s="216"/>
      <c r="F653" s="217"/>
    </row>
    <row r="654">
      <c r="A654" s="216"/>
      <c r="B654" s="217"/>
      <c r="C654" s="218"/>
      <c r="D654" s="216"/>
      <c r="E654" s="216"/>
      <c r="F654" s="217"/>
    </row>
    <row r="655">
      <c r="A655" s="216"/>
      <c r="B655" s="217"/>
      <c r="C655" s="218"/>
      <c r="D655" s="216"/>
      <c r="E655" s="216"/>
      <c r="F655" s="217"/>
    </row>
    <row r="656">
      <c r="A656" s="216"/>
      <c r="B656" s="217"/>
      <c r="C656" s="218"/>
      <c r="D656" s="216"/>
      <c r="E656" s="216"/>
      <c r="F656" s="217"/>
    </row>
    <row r="657">
      <c r="A657" s="216"/>
      <c r="B657" s="217"/>
      <c r="C657" s="218"/>
      <c r="D657" s="216"/>
      <c r="E657" s="216"/>
      <c r="F657" s="217"/>
    </row>
    <row r="658">
      <c r="A658" s="216"/>
      <c r="B658" s="217"/>
      <c r="C658" s="218"/>
      <c r="D658" s="216"/>
      <c r="E658" s="216"/>
      <c r="F658" s="217"/>
    </row>
    <row r="659">
      <c r="A659" s="216"/>
      <c r="B659" s="217"/>
      <c r="C659" s="218"/>
      <c r="D659" s="216"/>
      <c r="E659" s="216"/>
      <c r="F659" s="217"/>
    </row>
    <row r="660">
      <c r="A660" s="216"/>
      <c r="B660" s="217"/>
      <c r="C660" s="218"/>
      <c r="D660" s="216"/>
      <c r="E660" s="216"/>
      <c r="F660" s="217"/>
    </row>
    <row r="661">
      <c r="A661" s="216"/>
      <c r="B661" s="217"/>
      <c r="C661" s="218"/>
      <c r="D661" s="216"/>
      <c r="E661" s="216"/>
      <c r="F661" s="217"/>
    </row>
    <row r="662">
      <c r="A662" s="216"/>
      <c r="B662" s="217"/>
      <c r="C662" s="218"/>
      <c r="D662" s="216"/>
      <c r="E662" s="216"/>
      <c r="F662" s="217"/>
    </row>
    <row r="663">
      <c r="A663" s="216"/>
      <c r="B663" s="217"/>
      <c r="C663" s="218"/>
      <c r="D663" s="216"/>
      <c r="E663" s="216"/>
      <c r="F663" s="217"/>
    </row>
    <row r="664">
      <c r="A664" s="216"/>
      <c r="B664" s="217"/>
      <c r="C664" s="218"/>
      <c r="D664" s="216"/>
      <c r="E664" s="216"/>
      <c r="F664" s="217"/>
    </row>
    <row r="665">
      <c r="A665" s="216"/>
      <c r="B665" s="217"/>
      <c r="C665" s="218"/>
      <c r="D665" s="216"/>
      <c r="E665" s="216"/>
      <c r="F665" s="217"/>
    </row>
    <row r="666">
      <c r="A666" s="216"/>
      <c r="B666" s="217"/>
      <c r="C666" s="218"/>
      <c r="D666" s="216"/>
      <c r="E666" s="216"/>
      <c r="F666" s="217"/>
    </row>
    <row r="667">
      <c r="A667" s="216"/>
      <c r="B667" s="217"/>
      <c r="C667" s="218"/>
      <c r="D667" s="216"/>
      <c r="E667" s="216"/>
      <c r="F667" s="217"/>
    </row>
    <row r="668">
      <c r="A668" s="216"/>
      <c r="B668" s="217"/>
      <c r="C668" s="218"/>
      <c r="D668" s="216"/>
      <c r="E668" s="216"/>
      <c r="F668" s="217"/>
    </row>
    <row r="669">
      <c r="A669" s="216"/>
      <c r="B669" s="217"/>
      <c r="C669" s="218"/>
      <c r="D669" s="216"/>
      <c r="E669" s="216"/>
      <c r="F669" s="217"/>
    </row>
    <row r="670">
      <c r="A670" s="216"/>
      <c r="B670" s="217"/>
      <c r="C670" s="218"/>
      <c r="D670" s="216"/>
      <c r="E670" s="216"/>
      <c r="F670" s="217"/>
    </row>
    <row r="671">
      <c r="A671" s="216"/>
      <c r="B671" s="217"/>
      <c r="C671" s="218"/>
      <c r="D671" s="216"/>
      <c r="E671" s="216"/>
      <c r="F671" s="217"/>
    </row>
    <row r="672">
      <c r="A672" s="216"/>
      <c r="B672" s="217"/>
      <c r="C672" s="218"/>
      <c r="D672" s="216"/>
      <c r="E672" s="216"/>
      <c r="F672" s="217"/>
    </row>
    <row r="673">
      <c r="A673" s="216"/>
      <c r="B673" s="217"/>
      <c r="C673" s="218"/>
      <c r="D673" s="216"/>
      <c r="E673" s="216"/>
      <c r="F673" s="217"/>
    </row>
    <row r="674">
      <c r="A674" s="216"/>
      <c r="B674" s="217"/>
      <c r="C674" s="218"/>
      <c r="D674" s="216"/>
      <c r="E674" s="216"/>
      <c r="F674" s="217"/>
    </row>
    <row r="675">
      <c r="A675" s="216"/>
      <c r="B675" s="217"/>
      <c r="C675" s="218"/>
      <c r="D675" s="216"/>
      <c r="E675" s="216"/>
      <c r="F675" s="217"/>
    </row>
    <row r="676">
      <c r="A676" s="216"/>
      <c r="B676" s="217"/>
      <c r="C676" s="218"/>
      <c r="D676" s="216"/>
      <c r="E676" s="216"/>
      <c r="F676" s="217"/>
    </row>
    <row r="677">
      <c r="A677" s="216"/>
      <c r="B677" s="217"/>
      <c r="C677" s="218"/>
      <c r="D677" s="216"/>
      <c r="E677" s="216"/>
      <c r="F677" s="217"/>
    </row>
    <row r="678">
      <c r="A678" s="216"/>
      <c r="B678" s="217"/>
      <c r="C678" s="218"/>
      <c r="D678" s="216"/>
      <c r="E678" s="216"/>
      <c r="F678" s="217"/>
    </row>
    <row r="679">
      <c r="A679" s="216"/>
      <c r="B679" s="217"/>
      <c r="C679" s="218"/>
      <c r="D679" s="216"/>
      <c r="E679" s="216"/>
      <c r="F679" s="217"/>
    </row>
    <row r="680">
      <c r="A680" s="216"/>
      <c r="B680" s="217"/>
      <c r="C680" s="218"/>
      <c r="D680" s="216"/>
      <c r="E680" s="216"/>
      <c r="F680" s="217"/>
    </row>
    <row r="681">
      <c r="A681" s="216"/>
      <c r="B681" s="217"/>
      <c r="C681" s="218"/>
      <c r="D681" s="216"/>
      <c r="E681" s="216"/>
      <c r="F681" s="217"/>
    </row>
    <row r="682">
      <c r="A682" s="216"/>
      <c r="B682" s="217"/>
      <c r="C682" s="218"/>
      <c r="D682" s="216"/>
      <c r="E682" s="216"/>
      <c r="F682" s="217"/>
    </row>
    <row r="683">
      <c r="A683" s="216"/>
      <c r="B683" s="217"/>
      <c r="C683" s="218"/>
      <c r="D683" s="216"/>
      <c r="E683" s="216"/>
      <c r="F683" s="217"/>
    </row>
    <row r="684">
      <c r="A684" s="216"/>
      <c r="B684" s="217"/>
      <c r="C684" s="218"/>
      <c r="D684" s="216"/>
      <c r="E684" s="216"/>
      <c r="F684" s="217"/>
    </row>
    <row r="685">
      <c r="A685" s="216"/>
      <c r="B685" s="217"/>
      <c r="C685" s="218"/>
      <c r="D685" s="216"/>
      <c r="E685" s="216"/>
      <c r="F685" s="217"/>
    </row>
    <row r="686">
      <c r="A686" s="216"/>
      <c r="B686" s="217"/>
      <c r="C686" s="218"/>
      <c r="D686" s="216"/>
      <c r="E686" s="216"/>
      <c r="F686" s="217"/>
    </row>
    <row r="687">
      <c r="A687" s="216"/>
      <c r="B687" s="217"/>
      <c r="C687" s="218"/>
      <c r="D687" s="216"/>
      <c r="E687" s="216"/>
      <c r="F687" s="217"/>
    </row>
    <row r="688">
      <c r="A688" s="216"/>
      <c r="B688" s="217"/>
      <c r="C688" s="218"/>
      <c r="D688" s="216"/>
      <c r="E688" s="216"/>
      <c r="F688" s="217"/>
    </row>
    <row r="689">
      <c r="A689" s="216"/>
      <c r="B689" s="217"/>
      <c r="C689" s="218"/>
      <c r="D689" s="216"/>
      <c r="E689" s="216"/>
      <c r="F689" s="217"/>
    </row>
    <row r="690">
      <c r="A690" s="216"/>
      <c r="B690" s="217"/>
      <c r="C690" s="218"/>
      <c r="D690" s="216"/>
      <c r="E690" s="216"/>
      <c r="F690" s="217"/>
    </row>
    <row r="691">
      <c r="A691" s="216"/>
      <c r="B691" s="217"/>
      <c r="C691" s="218"/>
      <c r="D691" s="216"/>
      <c r="E691" s="216"/>
      <c r="F691" s="217"/>
    </row>
    <row r="692">
      <c r="A692" s="216"/>
      <c r="B692" s="217"/>
      <c r="C692" s="218"/>
      <c r="D692" s="216"/>
      <c r="E692" s="216"/>
      <c r="F692" s="217"/>
    </row>
    <row r="693">
      <c r="A693" s="216"/>
      <c r="B693" s="217"/>
      <c r="C693" s="218"/>
      <c r="D693" s="216"/>
      <c r="E693" s="216"/>
      <c r="F693" s="217"/>
    </row>
    <row r="694">
      <c r="A694" s="216"/>
      <c r="B694" s="217"/>
      <c r="C694" s="218"/>
      <c r="D694" s="216"/>
      <c r="E694" s="216"/>
      <c r="F694" s="217"/>
    </row>
    <row r="695">
      <c r="A695" s="216"/>
      <c r="B695" s="217"/>
      <c r="C695" s="218"/>
      <c r="D695" s="216"/>
      <c r="E695" s="216"/>
      <c r="F695" s="217"/>
    </row>
    <row r="696">
      <c r="A696" s="216"/>
      <c r="B696" s="217"/>
      <c r="C696" s="218"/>
      <c r="D696" s="216"/>
      <c r="E696" s="216"/>
      <c r="F696" s="217"/>
    </row>
    <row r="697">
      <c r="A697" s="216"/>
      <c r="B697" s="217"/>
      <c r="C697" s="218"/>
      <c r="D697" s="216"/>
      <c r="E697" s="216"/>
      <c r="F697" s="217"/>
    </row>
    <row r="698">
      <c r="A698" s="216"/>
      <c r="B698" s="217"/>
      <c r="C698" s="218"/>
      <c r="D698" s="216"/>
      <c r="E698" s="216"/>
      <c r="F698" s="217"/>
    </row>
    <row r="699">
      <c r="A699" s="216"/>
      <c r="B699" s="217"/>
      <c r="C699" s="218"/>
      <c r="D699" s="216"/>
      <c r="E699" s="216"/>
      <c r="F699" s="217"/>
    </row>
    <row r="700">
      <c r="A700" s="216"/>
      <c r="B700" s="217"/>
      <c r="C700" s="218"/>
      <c r="D700" s="216"/>
      <c r="E700" s="216"/>
      <c r="F700" s="217"/>
    </row>
    <row r="701">
      <c r="A701" s="216"/>
      <c r="B701" s="217"/>
      <c r="C701" s="218"/>
      <c r="D701" s="216"/>
      <c r="E701" s="216"/>
      <c r="F701" s="217"/>
    </row>
    <row r="702">
      <c r="A702" s="216"/>
      <c r="B702" s="217"/>
      <c r="C702" s="218"/>
      <c r="D702" s="216"/>
      <c r="E702" s="216"/>
      <c r="F702" s="217"/>
    </row>
    <row r="703">
      <c r="A703" s="216"/>
      <c r="B703" s="217"/>
      <c r="C703" s="218"/>
      <c r="D703" s="216"/>
      <c r="E703" s="216"/>
      <c r="F703" s="217"/>
    </row>
    <row r="704">
      <c r="A704" s="216"/>
      <c r="B704" s="217"/>
      <c r="C704" s="218"/>
      <c r="D704" s="216"/>
      <c r="E704" s="216"/>
      <c r="F704" s="217"/>
    </row>
    <row r="705">
      <c r="A705" s="216"/>
      <c r="B705" s="217"/>
      <c r="C705" s="218"/>
      <c r="D705" s="216"/>
      <c r="E705" s="216"/>
      <c r="F705" s="217"/>
    </row>
    <row r="706">
      <c r="A706" s="216"/>
      <c r="B706" s="217"/>
      <c r="C706" s="218"/>
      <c r="D706" s="216"/>
      <c r="E706" s="216"/>
      <c r="F706" s="217"/>
    </row>
    <row r="707">
      <c r="A707" s="216"/>
      <c r="B707" s="217"/>
      <c r="C707" s="218"/>
      <c r="D707" s="216"/>
      <c r="E707" s="216"/>
      <c r="F707" s="217"/>
    </row>
    <row r="708">
      <c r="A708" s="216"/>
      <c r="B708" s="217"/>
      <c r="C708" s="218"/>
      <c r="D708" s="216"/>
      <c r="E708" s="216"/>
      <c r="F708" s="217"/>
    </row>
    <row r="709">
      <c r="A709" s="216"/>
      <c r="B709" s="217"/>
      <c r="C709" s="218"/>
      <c r="D709" s="216"/>
      <c r="E709" s="216"/>
      <c r="F709" s="217"/>
    </row>
    <row r="710">
      <c r="A710" s="216"/>
      <c r="B710" s="217"/>
      <c r="C710" s="218"/>
      <c r="D710" s="216"/>
      <c r="E710" s="216"/>
      <c r="F710" s="217"/>
    </row>
    <row r="711">
      <c r="A711" s="216"/>
      <c r="B711" s="217"/>
      <c r="C711" s="218"/>
      <c r="D711" s="216"/>
      <c r="E711" s="216"/>
      <c r="F711" s="217"/>
    </row>
    <row r="712">
      <c r="A712" s="216"/>
      <c r="B712" s="217"/>
      <c r="C712" s="218"/>
      <c r="D712" s="216"/>
      <c r="E712" s="216"/>
      <c r="F712" s="217"/>
    </row>
    <row r="713">
      <c r="A713" s="216"/>
      <c r="B713" s="217"/>
      <c r="C713" s="218"/>
      <c r="D713" s="216"/>
      <c r="E713" s="216"/>
      <c r="F713" s="217"/>
    </row>
    <row r="714">
      <c r="A714" s="216"/>
      <c r="B714" s="217"/>
      <c r="C714" s="218"/>
      <c r="D714" s="216"/>
      <c r="E714" s="216"/>
      <c r="F714" s="217"/>
    </row>
    <row r="715">
      <c r="A715" s="216"/>
      <c r="B715" s="217"/>
      <c r="C715" s="218"/>
      <c r="D715" s="216"/>
      <c r="E715" s="216"/>
      <c r="F715" s="217"/>
    </row>
    <row r="716">
      <c r="A716" s="216"/>
      <c r="B716" s="217"/>
      <c r="C716" s="218"/>
      <c r="D716" s="216"/>
      <c r="E716" s="216"/>
      <c r="F716" s="217"/>
    </row>
    <row r="717">
      <c r="A717" s="216"/>
      <c r="B717" s="217"/>
      <c r="C717" s="218"/>
      <c r="D717" s="216"/>
      <c r="E717" s="216"/>
      <c r="F717" s="217"/>
    </row>
    <row r="718">
      <c r="A718" s="216"/>
      <c r="B718" s="217"/>
      <c r="C718" s="218"/>
      <c r="D718" s="216"/>
      <c r="E718" s="216"/>
      <c r="F718" s="217"/>
    </row>
    <row r="719">
      <c r="A719" s="216"/>
      <c r="B719" s="217"/>
      <c r="C719" s="218"/>
      <c r="D719" s="216"/>
      <c r="E719" s="216"/>
      <c r="F719" s="217"/>
    </row>
    <row r="720">
      <c r="A720" s="216"/>
      <c r="B720" s="217"/>
      <c r="C720" s="218"/>
      <c r="D720" s="216"/>
      <c r="E720" s="216"/>
      <c r="F720" s="217"/>
    </row>
    <row r="721">
      <c r="A721" s="216"/>
      <c r="B721" s="217"/>
      <c r="C721" s="218"/>
      <c r="D721" s="216"/>
      <c r="E721" s="216"/>
      <c r="F721" s="217"/>
    </row>
    <row r="722">
      <c r="A722" s="216"/>
      <c r="B722" s="217"/>
      <c r="C722" s="218"/>
      <c r="D722" s="216"/>
      <c r="E722" s="216"/>
      <c r="F722" s="217"/>
    </row>
    <row r="723">
      <c r="A723" s="216"/>
      <c r="B723" s="217"/>
      <c r="C723" s="218"/>
      <c r="D723" s="216"/>
      <c r="E723" s="216"/>
      <c r="F723" s="217"/>
    </row>
    <row r="724">
      <c r="A724" s="216"/>
      <c r="B724" s="217"/>
      <c r="C724" s="218"/>
      <c r="D724" s="216"/>
      <c r="E724" s="216"/>
      <c r="F724" s="217"/>
    </row>
    <row r="725">
      <c r="A725" s="216"/>
      <c r="B725" s="217"/>
      <c r="C725" s="218"/>
      <c r="D725" s="216"/>
      <c r="E725" s="216"/>
      <c r="F725" s="217"/>
    </row>
    <row r="726">
      <c r="A726" s="216"/>
      <c r="B726" s="217"/>
      <c r="C726" s="218"/>
      <c r="D726" s="216"/>
      <c r="E726" s="216"/>
      <c r="F726" s="217"/>
    </row>
    <row r="727">
      <c r="A727" s="216"/>
      <c r="B727" s="217"/>
      <c r="C727" s="218"/>
      <c r="D727" s="216"/>
      <c r="E727" s="216"/>
      <c r="F727" s="217"/>
    </row>
    <row r="728">
      <c r="A728" s="216"/>
      <c r="B728" s="217"/>
      <c r="C728" s="218"/>
      <c r="D728" s="216"/>
      <c r="E728" s="216"/>
      <c r="F728" s="217"/>
    </row>
    <row r="729">
      <c r="A729" s="216"/>
      <c r="B729" s="217"/>
      <c r="C729" s="218"/>
      <c r="D729" s="216"/>
      <c r="E729" s="216"/>
      <c r="F729" s="217"/>
    </row>
    <row r="730">
      <c r="A730" s="216"/>
      <c r="B730" s="217"/>
      <c r="C730" s="218"/>
      <c r="D730" s="216"/>
      <c r="E730" s="216"/>
      <c r="F730" s="217"/>
    </row>
    <row r="731">
      <c r="A731" s="216"/>
      <c r="B731" s="217"/>
      <c r="C731" s="218"/>
      <c r="D731" s="216"/>
      <c r="E731" s="216"/>
      <c r="F731" s="217"/>
    </row>
    <row r="732">
      <c r="A732" s="216"/>
      <c r="B732" s="217"/>
      <c r="C732" s="218"/>
      <c r="D732" s="216"/>
      <c r="E732" s="216"/>
      <c r="F732" s="217"/>
    </row>
    <row r="733">
      <c r="A733" s="216"/>
      <c r="B733" s="217"/>
      <c r="C733" s="218"/>
      <c r="D733" s="216"/>
      <c r="E733" s="216"/>
      <c r="F733" s="217"/>
    </row>
    <row r="734">
      <c r="A734" s="216"/>
      <c r="B734" s="217"/>
      <c r="C734" s="218"/>
      <c r="D734" s="216"/>
      <c r="E734" s="216"/>
      <c r="F734" s="217"/>
    </row>
    <row r="735">
      <c r="A735" s="216"/>
      <c r="B735" s="217"/>
      <c r="C735" s="218"/>
      <c r="D735" s="216"/>
      <c r="E735" s="216"/>
      <c r="F735" s="217"/>
    </row>
    <row r="736">
      <c r="A736" s="216"/>
      <c r="B736" s="217"/>
      <c r="C736" s="218"/>
      <c r="D736" s="216"/>
      <c r="E736" s="216"/>
      <c r="F736" s="217"/>
    </row>
    <row r="737">
      <c r="A737" s="216"/>
      <c r="B737" s="217"/>
      <c r="C737" s="218"/>
      <c r="D737" s="216"/>
      <c r="E737" s="216"/>
      <c r="F737" s="217"/>
    </row>
    <row r="738">
      <c r="A738" s="216"/>
      <c r="B738" s="217"/>
      <c r="C738" s="218"/>
      <c r="D738" s="216"/>
      <c r="E738" s="216"/>
      <c r="F738" s="217"/>
    </row>
    <row r="739">
      <c r="A739" s="216"/>
      <c r="B739" s="217"/>
      <c r="C739" s="218"/>
      <c r="D739" s="216"/>
      <c r="E739" s="216"/>
      <c r="F739" s="217"/>
    </row>
    <row r="740">
      <c r="A740" s="216"/>
      <c r="B740" s="217"/>
      <c r="C740" s="218"/>
      <c r="D740" s="216"/>
      <c r="E740" s="216"/>
      <c r="F740" s="217"/>
    </row>
    <row r="741">
      <c r="A741" s="216"/>
      <c r="B741" s="217"/>
      <c r="C741" s="218"/>
      <c r="D741" s="216"/>
      <c r="E741" s="216"/>
      <c r="F741" s="217"/>
    </row>
    <row r="742">
      <c r="A742" s="216"/>
      <c r="B742" s="217"/>
      <c r="C742" s="218"/>
      <c r="D742" s="216"/>
      <c r="E742" s="216"/>
      <c r="F742" s="217"/>
    </row>
    <row r="743">
      <c r="A743" s="216"/>
      <c r="B743" s="217"/>
      <c r="C743" s="218"/>
      <c r="D743" s="216"/>
      <c r="E743" s="216"/>
      <c r="F743" s="217"/>
    </row>
    <row r="744">
      <c r="A744" s="216"/>
      <c r="B744" s="217"/>
      <c r="C744" s="218"/>
      <c r="D744" s="216"/>
      <c r="E744" s="216"/>
      <c r="F744" s="217"/>
    </row>
    <row r="745">
      <c r="A745" s="216"/>
      <c r="B745" s="217"/>
      <c r="C745" s="218"/>
      <c r="D745" s="216"/>
      <c r="E745" s="216"/>
      <c r="F745" s="217"/>
    </row>
    <row r="746">
      <c r="A746" s="216"/>
      <c r="B746" s="217"/>
      <c r="C746" s="218"/>
      <c r="D746" s="216"/>
      <c r="E746" s="216"/>
      <c r="F746" s="217"/>
    </row>
    <row r="747">
      <c r="A747" s="216"/>
      <c r="B747" s="217"/>
      <c r="C747" s="218"/>
      <c r="D747" s="216"/>
      <c r="E747" s="216"/>
      <c r="F747" s="217"/>
    </row>
    <row r="748">
      <c r="A748" s="216"/>
      <c r="B748" s="217"/>
      <c r="C748" s="218"/>
      <c r="D748" s="216"/>
      <c r="E748" s="216"/>
      <c r="F748" s="217"/>
    </row>
    <row r="749">
      <c r="A749" s="216"/>
      <c r="B749" s="217"/>
      <c r="C749" s="218"/>
      <c r="D749" s="216"/>
      <c r="E749" s="216"/>
      <c r="F749" s="217"/>
    </row>
    <row r="750">
      <c r="A750" s="216"/>
      <c r="B750" s="217"/>
      <c r="C750" s="218"/>
      <c r="D750" s="216"/>
      <c r="E750" s="216"/>
      <c r="F750" s="217"/>
    </row>
    <row r="751">
      <c r="A751" s="216"/>
      <c r="B751" s="217"/>
      <c r="C751" s="218"/>
      <c r="D751" s="216"/>
      <c r="E751" s="216"/>
      <c r="F751" s="217"/>
    </row>
    <row r="752">
      <c r="A752" s="216"/>
      <c r="B752" s="217"/>
      <c r="C752" s="218"/>
      <c r="D752" s="216"/>
      <c r="E752" s="216"/>
      <c r="F752" s="217"/>
    </row>
    <row r="753">
      <c r="A753" s="216"/>
      <c r="B753" s="217"/>
      <c r="C753" s="218"/>
      <c r="D753" s="216"/>
      <c r="E753" s="216"/>
      <c r="F753" s="217"/>
    </row>
    <row r="754">
      <c r="A754" s="216"/>
      <c r="B754" s="217"/>
      <c r="C754" s="218"/>
      <c r="D754" s="216"/>
      <c r="E754" s="216"/>
      <c r="F754" s="217"/>
    </row>
    <row r="755">
      <c r="A755" s="216"/>
      <c r="B755" s="217"/>
      <c r="C755" s="218"/>
      <c r="D755" s="216"/>
      <c r="E755" s="216"/>
      <c r="F755" s="217"/>
    </row>
    <row r="756">
      <c r="A756" s="216"/>
      <c r="B756" s="217"/>
      <c r="C756" s="218"/>
      <c r="D756" s="216"/>
      <c r="E756" s="216"/>
      <c r="F756" s="217"/>
    </row>
    <row r="757">
      <c r="A757" s="216"/>
      <c r="B757" s="217"/>
      <c r="C757" s="218"/>
      <c r="D757" s="216"/>
      <c r="E757" s="216"/>
      <c r="F757" s="217"/>
    </row>
    <row r="758">
      <c r="A758" s="216"/>
      <c r="B758" s="217"/>
      <c r="C758" s="218"/>
      <c r="D758" s="216"/>
      <c r="E758" s="216"/>
      <c r="F758" s="217"/>
    </row>
    <row r="759">
      <c r="A759" s="216"/>
      <c r="B759" s="217"/>
      <c r="C759" s="218"/>
      <c r="D759" s="216"/>
      <c r="E759" s="216"/>
      <c r="F759" s="217"/>
    </row>
    <row r="760">
      <c r="A760" s="216"/>
      <c r="B760" s="217"/>
      <c r="C760" s="218"/>
      <c r="D760" s="216"/>
      <c r="E760" s="216"/>
      <c r="F760" s="217"/>
    </row>
    <row r="761">
      <c r="A761" s="216"/>
      <c r="B761" s="217"/>
      <c r="C761" s="218"/>
      <c r="D761" s="216"/>
      <c r="E761" s="216"/>
      <c r="F761" s="217"/>
    </row>
    <row r="762">
      <c r="A762" s="216"/>
      <c r="B762" s="217"/>
      <c r="C762" s="218"/>
      <c r="D762" s="216"/>
      <c r="E762" s="216"/>
      <c r="F762" s="217"/>
    </row>
    <row r="763">
      <c r="A763" s="216"/>
      <c r="B763" s="217"/>
      <c r="C763" s="218"/>
      <c r="D763" s="216"/>
      <c r="E763" s="216"/>
      <c r="F763" s="217"/>
    </row>
    <row r="764">
      <c r="A764" s="216"/>
      <c r="B764" s="217"/>
      <c r="C764" s="218"/>
      <c r="D764" s="216"/>
      <c r="E764" s="216"/>
      <c r="F764" s="217"/>
    </row>
    <row r="765">
      <c r="A765" s="216"/>
      <c r="B765" s="217"/>
      <c r="C765" s="218"/>
      <c r="D765" s="216"/>
      <c r="E765" s="216"/>
      <c r="F765" s="217"/>
    </row>
    <row r="766">
      <c r="A766" s="216"/>
      <c r="B766" s="217"/>
      <c r="C766" s="218"/>
      <c r="D766" s="216"/>
      <c r="E766" s="216"/>
      <c r="F766" s="217"/>
    </row>
    <row r="767">
      <c r="A767" s="216"/>
      <c r="B767" s="217"/>
      <c r="C767" s="218"/>
      <c r="D767" s="216"/>
      <c r="E767" s="216"/>
      <c r="F767" s="217"/>
    </row>
    <row r="768">
      <c r="A768" s="216"/>
      <c r="B768" s="217"/>
      <c r="C768" s="218"/>
      <c r="D768" s="216"/>
      <c r="E768" s="216"/>
      <c r="F768" s="217"/>
    </row>
    <row r="769">
      <c r="A769" s="216"/>
      <c r="B769" s="217"/>
      <c r="C769" s="218"/>
      <c r="D769" s="216"/>
      <c r="E769" s="216"/>
      <c r="F769" s="217"/>
    </row>
    <row r="770">
      <c r="A770" s="216"/>
      <c r="B770" s="217"/>
      <c r="C770" s="218"/>
      <c r="D770" s="216"/>
      <c r="E770" s="216"/>
      <c r="F770" s="217"/>
    </row>
    <row r="771">
      <c r="A771" s="216"/>
      <c r="B771" s="217"/>
      <c r="C771" s="218"/>
      <c r="D771" s="216"/>
      <c r="E771" s="216"/>
      <c r="F771" s="217"/>
    </row>
    <row r="772">
      <c r="A772" s="216"/>
      <c r="B772" s="217"/>
      <c r="C772" s="218"/>
      <c r="D772" s="216"/>
      <c r="E772" s="216"/>
      <c r="F772" s="217"/>
    </row>
    <row r="773">
      <c r="A773" s="216"/>
      <c r="B773" s="217"/>
      <c r="C773" s="218"/>
      <c r="D773" s="216"/>
      <c r="E773" s="216"/>
      <c r="F773" s="217"/>
    </row>
    <row r="774">
      <c r="A774" s="216"/>
      <c r="B774" s="217"/>
      <c r="C774" s="218"/>
      <c r="D774" s="216"/>
      <c r="E774" s="216"/>
      <c r="F774" s="217"/>
    </row>
    <row r="775">
      <c r="A775" s="216"/>
      <c r="B775" s="217"/>
      <c r="C775" s="218"/>
      <c r="D775" s="216"/>
      <c r="E775" s="216"/>
      <c r="F775" s="217"/>
    </row>
    <row r="776">
      <c r="A776" s="216"/>
      <c r="B776" s="217"/>
      <c r="C776" s="218"/>
      <c r="D776" s="216"/>
      <c r="E776" s="216"/>
      <c r="F776" s="217"/>
    </row>
    <row r="777">
      <c r="A777" s="216"/>
      <c r="B777" s="217"/>
      <c r="C777" s="218"/>
      <c r="D777" s="216"/>
      <c r="E777" s="216"/>
      <c r="F777" s="217"/>
    </row>
    <row r="778">
      <c r="A778" s="216"/>
      <c r="B778" s="217"/>
      <c r="C778" s="218"/>
      <c r="D778" s="216"/>
      <c r="E778" s="216"/>
      <c r="F778" s="217"/>
    </row>
    <row r="779">
      <c r="A779" s="216"/>
      <c r="B779" s="217"/>
      <c r="C779" s="218"/>
      <c r="D779" s="216"/>
      <c r="E779" s="216"/>
      <c r="F779" s="217"/>
    </row>
    <row r="780">
      <c r="A780" s="216"/>
      <c r="B780" s="217"/>
      <c r="C780" s="218"/>
      <c r="D780" s="216"/>
      <c r="E780" s="216"/>
      <c r="F780" s="217"/>
    </row>
    <row r="781">
      <c r="A781" s="216"/>
      <c r="B781" s="217"/>
      <c r="C781" s="218"/>
      <c r="D781" s="216"/>
      <c r="E781" s="216"/>
      <c r="F781" s="217"/>
    </row>
    <row r="782">
      <c r="A782" s="216"/>
      <c r="B782" s="217"/>
      <c r="C782" s="218"/>
      <c r="D782" s="216"/>
      <c r="E782" s="216"/>
      <c r="F782" s="217"/>
    </row>
    <row r="783">
      <c r="A783" s="216"/>
      <c r="B783" s="217"/>
      <c r="C783" s="218"/>
      <c r="D783" s="216"/>
      <c r="E783" s="216"/>
      <c r="F783" s="217"/>
    </row>
    <row r="784">
      <c r="A784" s="216"/>
      <c r="B784" s="217"/>
      <c r="C784" s="218"/>
      <c r="D784" s="216"/>
      <c r="E784" s="216"/>
      <c r="F784" s="217"/>
    </row>
    <row r="785">
      <c r="A785" s="216"/>
      <c r="B785" s="217"/>
      <c r="C785" s="218"/>
      <c r="D785" s="216"/>
      <c r="E785" s="216"/>
      <c r="F785" s="217"/>
    </row>
    <row r="786">
      <c r="A786" s="216"/>
      <c r="B786" s="217"/>
      <c r="C786" s="218"/>
      <c r="D786" s="216"/>
      <c r="E786" s="216"/>
      <c r="F786" s="217"/>
    </row>
    <row r="787">
      <c r="A787" s="216"/>
      <c r="B787" s="217"/>
      <c r="C787" s="218"/>
      <c r="D787" s="216"/>
      <c r="E787" s="216"/>
      <c r="F787" s="217"/>
    </row>
    <row r="788">
      <c r="A788" s="216"/>
      <c r="B788" s="217"/>
      <c r="C788" s="218"/>
      <c r="D788" s="216"/>
      <c r="E788" s="216"/>
      <c r="F788" s="217"/>
    </row>
    <row r="789">
      <c r="A789" s="216"/>
      <c r="B789" s="217"/>
      <c r="C789" s="218"/>
      <c r="D789" s="216"/>
      <c r="E789" s="216"/>
      <c r="F789" s="217"/>
    </row>
    <row r="790">
      <c r="A790" s="216"/>
      <c r="B790" s="217"/>
      <c r="C790" s="218"/>
      <c r="D790" s="216"/>
      <c r="E790" s="216"/>
      <c r="F790" s="217"/>
    </row>
    <row r="791">
      <c r="A791" s="216"/>
      <c r="B791" s="217"/>
      <c r="C791" s="218"/>
      <c r="D791" s="216"/>
      <c r="E791" s="216"/>
      <c r="F791" s="217"/>
    </row>
    <row r="792">
      <c r="A792" s="216"/>
      <c r="B792" s="217"/>
      <c r="C792" s="218"/>
      <c r="D792" s="216"/>
      <c r="E792" s="216"/>
      <c r="F792" s="217"/>
    </row>
    <row r="793">
      <c r="A793" s="216"/>
      <c r="B793" s="217"/>
      <c r="C793" s="218"/>
      <c r="D793" s="216"/>
      <c r="E793" s="216"/>
      <c r="F793" s="217"/>
    </row>
    <row r="794">
      <c r="A794" s="216"/>
      <c r="B794" s="217"/>
      <c r="C794" s="218"/>
      <c r="D794" s="216"/>
      <c r="E794" s="216"/>
      <c r="F794" s="217"/>
    </row>
    <row r="795">
      <c r="A795" s="216"/>
      <c r="B795" s="217"/>
      <c r="C795" s="218"/>
      <c r="D795" s="216"/>
      <c r="E795" s="216"/>
      <c r="F795" s="217"/>
    </row>
    <row r="796">
      <c r="A796" s="216"/>
      <c r="B796" s="217"/>
      <c r="C796" s="218"/>
      <c r="D796" s="216"/>
      <c r="E796" s="216"/>
      <c r="F796" s="217"/>
    </row>
    <row r="797">
      <c r="A797" s="216"/>
      <c r="B797" s="217"/>
      <c r="C797" s="218"/>
      <c r="D797" s="216"/>
      <c r="E797" s="216"/>
      <c r="F797" s="217"/>
    </row>
    <row r="798">
      <c r="A798" s="216"/>
      <c r="B798" s="217"/>
      <c r="C798" s="218"/>
      <c r="D798" s="216"/>
      <c r="E798" s="216"/>
      <c r="F798" s="217"/>
    </row>
    <row r="799">
      <c r="A799" s="216"/>
      <c r="B799" s="217"/>
      <c r="C799" s="218"/>
      <c r="D799" s="216"/>
      <c r="E799" s="216"/>
      <c r="F799" s="217"/>
    </row>
    <row r="800">
      <c r="A800" s="216"/>
      <c r="B800" s="217"/>
      <c r="C800" s="218"/>
      <c r="D800" s="216"/>
      <c r="E800" s="216"/>
      <c r="F800" s="217"/>
    </row>
    <row r="801">
      <c r="A801" s="216"/>
      <c r="B801" s="217"/>
      <c r="C801" s="218"/>
      <c r="D801" s="216"/>
      <c r="E801" s="216"/>
      <c r="F801" s="217"/>
    </row>
    <row r="802">
      <c r="A802" s="216"/>
      <c r="B802" s="217"/>
      <c r="C802" s="218"/>
      <c r="D802" s="216"/>
      <c r="E802" s="216"/>
      <c r="F802" s="217"/>
    </row>
    <row r="803">
      <c r="A803" s="216"/>
      <c r="B803" s="217"/>
      <c r="C803" s="218"/>
      <c r="D803" s="216"/>
      <c r="E803" s="216"/>
      <c r="F803" s="217"/>
    </row>
    <row r="804">
      <c r="A804" s="216"/>
      <c r="B804" s="217"/>
      <c r="C804" s="218"/>
      <c r="D804" s="216"/>
      <c r="E804" s="216"/>
      <c r="F804" s="217"/>
    </row>
    <row r="805">
      <c r="A805" s="216"/>
      <c r="B805" s="217"/>
      <c r="C805" s="218"/>
      <c r="D805" s="216"/>
      <c r="E805" s="216"/>
      <c r="F805" s="217"/>
    </row>
    <row r="806">
      <c r="A806" s="216"/>
      <c r="B806" s="217"/>
      <c r="C806" s="218"/>
      <c r="D806" s="216"/>
      <c r="E806" s="216"/>
      <c r="F806" s="217"/>
    </row>
    <row r="807">
      <c r="A807" s="216"/>
      <c r="B807" s="217"/>
      <c r="C807" s="218"/>
      <c r="D807" s="216"/>
      <c r="E807" s="216"/>
      <c r="F807" s="217"/>
    </row>
    <row r="808">
      <c r="A808" s="216"/>
      <c r="B808" s="217"/>
      <c r="C808" s="218"/>
      <c r="D808" s="216"/>
      <c r="E808" s="216"/>
      <c r="F808" s="217"/>
    </row>
    <row r="809">
      <c r="A809" s="216"/>
      <c r="B809" s="217"/>
      <c r="C809" s="218"/>
      <c r="D809" s="216"/>
      <c r="E809" s="216"/>
      <c r="F809" s="217"/>
    </row>
    <row r="810">
      <c r="A810" s="216"/>
      <c r="B810" s="217"/>
      <c r="C810" s="218"/>
      <c r="D810" s="216"/>
      <c r="E810" s="216"/>
      <c r="F810" s="217"/>
    </row>
    <row r="811">
      <c r="A811" s="216"/>
      <c r="B811" s="217"/>
      <c r="C811" s="218"/>
      <c r="D811" s="216"/>
      <c r="E811" s="216"/>
      <c r="F811" s="217"/>
    </row>
    <row r="812">
      <c r="A812" s="216"/>
      <c r="B812" s="217"/>
      <c r="C812" s="218"/>
      <c r="D812" s="216"/>
      <c r="E812" s="216"/>
      <c r="F812" s="217"/>
    </row>
    <row r="813">
      <c r="A813" s="216"/>
      <c r="B813" s="217"/>
      <c r="C813" s="218"/>
      <c r="D813" s="216"/>
      <c r="E813" s="216"/>
      <c r="F813" s="217"/>
    </row>
    <row r="814">
      <c r="A814" s="216"/>
      <c r="B814" s="217"/>
      <c r="C814" s="218"/>
      <c r="D814" s="216"/>
      <c r="E814" s="216"/>
      <c r="F814" s="217"/>
    </row>
    <row r="815">
      <c r="A815" s="216"/>
      <c r="B815" s="217"/>
      <c r="C815" s="218"/>
      <c r="D815" s="216"/>
      <c r="E815" s="216"/>
      <c r="F815" s="217"/>
    </row>
    <row r="816">
      <c r="A816" s="216"/>
      <c r="B816" s="217"/>
      <c r="C816" s="218"/>
      <c r="D816" s="216"/>
      <c r="E816" s="216"/>
      <c r="F816" s="217"/>
    </row>
    <row r="817">
      <c r="A817" s="216"/>
      <c r="B817" s="217"/>
      <c r="C817" s="218"/>
      <c r="D817" s="216"/>
      <c r="E817" s="216"/>
      <c r="F817" s="217"/>
    </row>
    <row r="818">
      <c r="A818" s="216"/>
      <c r="B818" s="217"/>
      <c r="C818" s="218"/>
      <c r="D818" s="216"/>
      <c r="E818" s="216"/>
      <c r="F818" s="217"/>
    </row>
    <row r="819">
      <c r="A819" s="216"/>
      <c r="B819" s="217"/>
      <c r="C819" s="218"/>
      <c r="D819" s="216"/>
      <c r="E819" s="216"/>
      <c r="F819" s="217"/>
    </row>
    <row r="820">
      <c r="A820" s="216"/>
      <c r="B820" s="217"/>
      <c r="C820" s="218"/>
      <c r="D820" s="216"/>
      <c r="E820" s="216"/>
      <c r="F820" s="217"/>
    </row>
    <row r="821">
      <c r="A821" s="216"/>
      <c r="B821" s="217"/>
      <c r="C821" s="218"/>
      <c r="D821" s="216"/>
      <c r="E821" s="216"/>
      <c r="F821" s="217"/>
    </row>
    <row r="822">
      <c r="A822" s="216"/>
      <c r="B822" s="217"/>
      <c r="C822" s="218"/>
      <c r="D822" s="216"/>
      <c r="E822" s="216"/>
      <c r="F822" s="217"/>
    </row>
    <row r="823">
      <c r="A823" s="216"/>
      <c r="B823" s="217"/>
      <c r="C823" s="218"/>
      <c r="D823" s="216"/>
      <c r="E823" s="216"/>
      <c r="F823" s="217"/>
    </row>
    <row r="824">
      <c r="A824" s="216"/>
      <c r="B824" s="217"/>
      <c r="C824" s="218"/>
      <c r="D824" s="216"/>
      <c r="E824" s="216"/>
      <c r="F824" s="217"/>
    </row>
    <row r="825">
      <c r="A825" s="216"/>
      <c r="B825" s="217"/>
      <c r="C825" s="218"/>
      <c r="D825" s="216"/>
      <c r="E825" s="216"/>
      <c r="F825" s="217"/>
    </row>
    <row r="826">
      <c r="A826" s="216"/>
      <c r="B826" s="217"/>
      <c r="C826" s="218"/>
      <c r="D826" s="216"/>
      <c r="E826" s="216"/>
      <c r="F826" s="217"/>
    </row>
    <row r="827">
      <c r="A827" s="216"/>
      <c r="B827" s="217"/>
      <c r="C827" s="218"/>
      <c r="D827" s="216"/>
      <c r="E827" s="216"/>
      <c r="F827" s="217"/>
    </row>
    <row r="828">
      <c r="A828" s="216"/>
      <c r="B828" s="217"/>
      <c r="C828" s="218"/>
      <c r="D828" s="216"/>
      <c r="E828" s="216"/>
      <c r="F828" s="217"/>
    </row>
    <row r="829">
      <c r="A829" s="216"/>
      <c r="B829" s="217"/>
      <c r="C829" s="218"/>
      <c r="D829" s="216"/>
      <c r="E829" s="216"/>
      <c r="F829" s="217"/>
    </row>
    <row r="830">
      <c r="A830" s="216"/>
      <c r="B830" s="217"/>
      <c r="C830" s="218"/>
      <c r="D830" s="216"/>
      <c r="E830" s="216"/>
      <c r="F830" s="217"/>
    </row>
    <row r="831">
      <c r="A831" s="216"/>
      <c r="B831" s="217"/>
      <c r="C831" s="218"/>
      <c r="D831" s="216"/>
      <c r="E831" s="216"/>
      <c r="F831" s="217"/>
    </row>
    <row r="832">
      <c r="A832" s="216"/>
      <c r="B832" s="217"/>
      <c r="C832" s="218"/>
      <c r="D832" s="216"/>
      <c r="E832" s="216"/>
      <c r="F832" s="217"/>
    </row>
    <row r="833">
      <c r="A833" s="216"/>
      <c r="B833" s="217"/>
      <c r="C833" s="218"/>
      <c r="D833" s="216"/>
      <c r="E833" s="216"/>
      <c r="F833" s="217"/>
    </row>
    <row r="834">
      <c r="A834" s="216"/>
      <c r="B834" s="217"/>
      <c r="C834" s="218"/>
      <c r="D834" s="216"/>
      <c r="E834" s="216"/>
      <c r="F834" s="217"/>
    </row>
    <row r="835">
      <c r="A835" s="216"/>
      <c r="B835" s="217"/>
      <c r="C835" s="218"/>
      <c r="D835" s="216"/>
      <c r="E835" s="216"/>
      <c r="F835" s="217"/>
    </row>
    <row r="836">
      <c r="A836" s="216"/>
      <c r="B836" s="217"/>
      <c r="C836" s="218"/>
      <c r="D836" s="216"/>
      <c r="E836" s="216"/>
      <c r="F836" s="217"/>
    </row>
    <row r="837">
      <c r="A837" s="216"/>
      <c r="B837" s="217"/>
      <c r="C837" s="218"/>
      <c r="D837" s="216"/>
      <c r="E837" s="216"/>
      <c r="F837" s="217"/>
    </row>
    <row r="838">
      <c r="A838" s="216"/>
      <c r="B838" s="217"/>
      <c r="C838" s="218"/>
      <c r="D838" s="216"/>
      <c r="E838" s="216"/>
      <c r="F838" s="217"/>
    </row>
    <row r="839">
      <c r="A839" s="216"/>
      <c r="B839" s="217"/>
      <c r="C839" s="218"/>
      <c r="D839" s="216"/>
      <c r="E839" s="216"/>
      <c r="F839" s="217"/>
    </row>
    <row r="840">
      <c r="A840" s="216"/>
      <c r="B840" s="217"/>
      <c r="C840" s="218"/>
      <c r="D840" s="216"/>
      <c r="E840" s="216"/>
      <c r="F840" s="217"/>
    </row>
    <row r="841">
      <c r="A841" s="216"/>
      <c r="B841" s="217"/>
      <c r="C841" s="218"/>
      <c r="D841" s="216"/>
      <c r="E841" s="216"/>
      <c r="F841" s="217"/>
    </row>
    <row r="842">
      <c r="A842" s="216"/>
      <c r="B842" s="217"/>
      <c r="C842" s="218"/>
      <c r="D842" s="216"/>
      <c r="E842" s="216"/>
      <c r="F842" s="217"/>
    </row>
    <row r="843">
      <c r="A843" s="216"/>
      <c r="B843" s="217"/>
      <c r="C843" s="218"/>
      <c r="D843" s="216"/>
      <c r="E843" s="216"/>
      <c r="F843" s="217"/>
    </row>
    <row r="844">
      <c r="A844" s="216"/>
      <c r="B844" s="217"/>
      <c r="C844" s="218"/>
      <c r="D844" s="216"/>
      <c r="E844" s="216"/>
      <c r="F844" s="217"/>
    </row>
    <row r="845">
      <c r="A845" s="216"/>
      <c r="B845" s="217"/>
      <c r="C845" s="218"/>
      <c r="D845" s="216"/>
      <c r="E845" s="216"/>
      <c r="F845" s="217"/>
    </row>
    <row r="846">
      <c r="A846" s="216"/>
      <c r="B846" s="217"/>
      <c r="C846" s="218"/>
      <c r="D846" s="216"/>
      <c r="E846" s="216"/>
      <c r="F846" s="217"/>
    </row>
    <row r="847">
      <c r="A847" s="216"/>
      <c r="B847" s="217"/>
      <c r="C847" s="218"/>
      <c r="D847" s="216"/>
      <c r="E847" s="216"/>
      <c r="F847" s="217"/>
    </row>
    <row r="848">
      <c r="A848" s="216"/>
      <c r="B848" s="217"/>
      <c r="C848" s="218"/>
      <c r="D848" s="216"/>
      <c r="E848" s="216"/>
      <c r="F848" s="217"/>
    </row>
    <row r="849">
      <c r="A849" s="216"/>
      <c r="B849" s="217"/>
      <c r="C849" s="218"/>
      <c r="D849" s="216"/>
      <c r="E849" s="216"/>
      <c r="F849" s="217"/>
    </row>
    <row r="850">
      <c r="A850" s="216"/>
      <c r="B850" s="217"/>
      <c r="C850" s="218"/>
      <c r="D850" s="216"/>
      <c r="E850" s="216"/>
      <c r="F850" s="217"/>
    </row>
    <row r="851">
      <c r="A851" s="216"/>
      <c r="B851" s="217"/>
      <c r="C851" s="218"/>
      <c r="D851" s="216"/>
      <c r="E851" s="216"/>
      <c r="F851" s="217"/>
    </row>
    <row r="852">
      <c r="A852" s="216"/>
      <c r="B852" s="217"/>
      <c r="C852" s="218"/>
      <c r="D852" s="216"/>
      <c r="E852" s="216"/>
      <c r="F852" s="217"/>
    </row>
    <row r="853">
      <c r="A853" s="216"/>
      <c r="B853" s="217"/>
      <c r="C853" s="218"/>
      <c r="D853" s="216"/>
      <c r="E853" s="216"/>
      <c r="F853" s="217"/>
    </row>
    <row r="854">
      <c r="A854" s="216"/>
      <c r="B854" s="217"/>
      <c r="C854" s="218"/>
      <c r="D854" s="216"/>
      <c r="E854" s="216"/>
      <c r="F854" s="217"/>
    </row>
    <row r="855">
      <c r="A855" s="216"/>
      <c r="B855" s="217"/>
      <c r="C855" s="218"/>
      <c r="D855" s="216"/>
      <c r="E855" s="216"/>
      <c r="F855" s="217"/>
    </row>
    <row r="856">
      <c r="A856" s="216"/>
      <c r="B856" s="217"/>
      <c r="C856" s="218"/>
      <c r="D856" s="216"/>
      <c r="E856" s="216"/>
      <c r="F856" s="217"/>
    </row>
    <row r="857">
      <c r="A857" s="216"/>
      <c r="B857" s="217"/>
      <c r="C857" s="218"/>
      <c r="D857" s="216"/>
      <c r="E857" s="216"/>
      <c r="F857" s="217"/>
    </row>
    <row r="858">
      <c r="A858" s="216"/>
      <c r="B858" s="217"/>
      <c r="C858" s="218"/>
      <c r="D858" s="216"/>
      <c r="E858" s="216"/>
      <c r="F858" s="217"/>
    </row>
    <row r="859">
      <c r="A859" s="216"/>
      <c r="B859" s="217"/>
      <c r="C859" s="218"/>
      <c r="D859" s="216"/>
      <c r="E859" s="216"/>
      <c r="F859" s="217"/>
    </row>
    <row r="860">
      <c r="A860" s="216"/>
      <c r="B860" s="217"/>
      <c r="C860" s="218"/>
      <c r="D860" s="216"/>
      <c r="E860" s="216"/>
      <c r="F860" s="217"/>
    </row>
    <row r="861">
      <c r="A861" s="216"/>
      <c r="B861" s="217"/>
      <c r="C861" s="218"/>
      <c r="D861" s="216"/>
      <c r="E861" s="216"/>
      <c r="F861" s="217"/>
    </row>
    <row r="862">
      <c r="A862" s="216"/>
      <c r="B862" s="217"/>
      <c r="C862" s="218"/>
      <c r="D862" s="216"/>
      <c r="E862" s="216"/>
      <c r="F862" s="217"/>
    </row>
    <row r="863">
      <c r="A863" s="216"/>
      <c r="B863" s="217"/>
      <c r="C863" s="218"/>
      <c r="D863" s="216"/>
      <c r="E863" s="216"/>
      <c r="F863" s="217"/>
    </row>
    <row r="864">
      <c r="A864" s="216"/>
      <c r="B864" s="217"/>
      <c r="C864" s="218"/>
      <c r="D864" s="216"/>
      <c r="E864" s="216"/>
      <c r="F864" s="217"/>
    </row>
    <row r="865">
      <c r="A865" s="216"/>
      <c r="B865" s="217"/>
      <c r="C865" s="218"/>
      <c r="D865" s="216"/>
      <c r="E865" s="216"/>
      <c r="F865" s="217"/>
    </row>
    <row r="866">
      <c r="A866" s="216"/>
      <c r="B866" s="217"/>
      <c r="C866" s="218"/>
      <c r="D866" s="216"/>
      <c r="E866" s="216"/>
      <c r="F866" s="217"/>
    </row>
    <row r="867">
      <c r="A867" s="216"/>
      <c r="B867" s="217"/>
      <c r="C867" s="218"/>
      <c r="D867" s="216"/>
      <c r="E867" s="216"/>
      <c r="F867" s="217"/>
    </row>
    <row r="868">
      <c r="A868" s="216"/>
      <c r="B868" s="217"/>
      <c r="C868" s="218"/>
      <c r="D868" s="216"/>
      <c r="E868" s="216"/>
      <c r="F868" s="217"/>
    </row>
    <row r="869">
      <c r="A869" s="216"/>
      <c r="B869" s="217"/>
      <c r="C869" s="218"/>
      <c r="D869" s="216"/>
      <c r="E869" s="216"/>
      <c r="F869" s="217"/>
    </row>
    <row r="870">
      <c r="A870" s="216"/>
      <c r="B870" s="217"/>
      <c r="C870" s="218"/>
      <c r="D870" s="216"/>
      <c r="E870" s="216"/>
      <c r="F870" s="217"/>
    </row>
    <row r="871">
      <c r="A871" s="216"/>
      <c r="B871" s="217"/>
      <c r="C871" s="218"/>
      <c r="D871" s="216"/>
      <c r="E871" s="216"/>
      <c r="F871" s="217"/>
    </row>
    <row r="872">
      <c r="A872" s="216"/>
      <c r="B872" s="217"/>
      <c r="C872" s="218"/>
      <c r="D872" s="216"/>
      <c r="E872" s="216"/>
      <c r="F872" s="217"/>
    </row>
    <row r="873">
      <c r="A873" s="216"/>
      <c r="B873" s="217"/>
      <c r="C873" s="218"/>
      <c r="D873" s="216"/>
      <c r="E873" s="216"/>
      <c r="F873" s="217"/>
    </row>
    <row r="874">
      <c r="A874" s="216"/>
      <c r="B874" s="217"/>
      <c r="C874" s="218"/>
      <c r="D874" s="216"/>
      <c r="E874" s="216"/>
      <c r="F874" s="217"/>
    </row>
    <row r="875">
      <c r="A875" s="216"/>
      <c r="B875" s="217"/>
      <c r="C875" s="218"/>
      <c r="D875" s="216"/>
      <c r="E875" s="216"/>
      <c r="F875" s="217"/>
    </row>
    <row r="876">
      <c r="A876" s="216"/>
      <c r="B876" s="217"/>
      <c r="C876" s="218"/>
      <c r="D876" s="216"/>
      <c r="E876" s="216"/>
      <c r="F876" s="217"/>
    </row>
    <row r="877">
      <c r="A877" s="216"/>
      <c r="B877" s="217"/>
      <c r="C877" s="218"/>
      <c r="D877" s="216"/>
      <c r="E877" s="216"/>
      <c r="F877" s="217"/>
    </row>
    <row r="878">
      <c r="A878" s="216"/>
      <c r="B878" s="217"/>
      <c r="C878" s="218"/>
      <c r="D878" s="216"/>
      <c r="E878" s="216"/>
      <c r="F878" s="217"/>
    </row>
    <row r="879">
      <c r="A879" s="216"/>
      <c r="B879" s="217"/>
      <c r="C879" s="218"/>
      <c r="D879" s="216"/>
      <c r="E879" s="216"/>
      <c r="F879" s="217"/>
    </row>
    <row r="880">
      <c r="A880" s="216"/>
      <c r="B880" s="217"/>
      <c r="C880" s="218"/>
      <c r="D880" s="216"/>
      <c r="E880" s="216"/>
      <c r="F880" s="217"/>
    </row>
    <row r="881">
      <c r="A881" s="216"/>
      <c r="B881" s="217"/>
      <c r="C881" s="218"/>
      <c r="D881" s="216"/>
      <c r="E881" s="216"/>
      <c r="F881" s="217"/>
    </row>
    <row r="882">
      <c r="A882" s="216"/>
      <c r="B882" s="217"/>
      <c r="C882" s="218"/>
      <c r="D882" s="216"/>
      <c r="E882" s="216"/>
      <c r="F882" s="217"/>
    </row>
    <row r="883">
      <c r="A883" s="216"/>
      <c r="B883" s="217"/>
      <c r="C883" s="218"/>
      <c r="D883" s="216"/>
      <c r="E883" s="216"/>
      <c r="F883" s="217"/>
    </row>
    <row r="884">
      <c r="A884" s="216"/>
      <c r="B884" s="217"/>
      <c r="C884" s="218"/>
      <c r="D884" s="216"/>
      <c r="E884" s="216"/>
      <c r="F884" s="217"/>
    </row>
    <row r="885">
      <c r="A885" s="216"/>
      <c r="B885" s="217"/>
      <c r="C885" s="218"/>
      <c r="D885" s="216"/>
      <c r="E885" s="216"/>
      <c r="F885" s="217"/>
    </row>
    <row r="886">
      <c r="A886" s="216"/>
      <c r="B886" s="217"/>
      <c r="C886" s="218"/>
      <c r="D886" s="216"/>
      <c r="E886" s="216"/>
      <c r="F886" s="217"/>
    </row>
    <row r="887">
      <c r="A887" s="216"/>
      <c r="B887" s="217"/>
      <c r="C887" s="218"/>
      <c r="D887" s="216"/>
      <c r="E887" s="216"/>
      <c r="F887" s="217"/>
    </row>
    <row r="888">
      <c r="A888" s="216"/>
      <c r="B888" s="217"/>
      <c r="C888" s="218"/>
      <c r="D888" s="216"/>
      <c r="E888" s="216"/>
      <c r="F888" s="217"/>
    </row>
    <row r="889">
      <c r="A889" s="216"/>
      <c r="B889" s="217"/>
      <c r="C889" s="218"/>
      <c r="D889" s="216"/>
      <c r="E889" s="216"/>
      <c r="F889" s="217"/>
    </row>
    <row r="890">
      <c r="A890" s="216"/>
      <c r="B890" s="217"/>
      <c r="C890" s="218"/>
      <c r="D890" s="216"/>
      <c r="E890" s="216"/>
      <c r="F890" s="217"/>
    </row>
    <row r="891">
      <c r="A891" s="216"/>
      <c r="B891" s="217"/>
      <c r="C891" s="218"/>
      <c r="D891" s="216"/>
      <c r="E891" s="216"/>
      <c r="F891" s="217"/>
    </row>
    <row r="892">
      <c r="A892" s="216"/>
      <c r="B892" s="217"/>
      <c r="C892" s="218"/>
      <c r="D892" s="216"/>
      <c r="E892" s="216"/>
      <c r="F892" s="217"/>
    </row>
    <row r="893">
      <c r="A893" s="216"/>
      <c r="B893" s="217"/>
      <c r="C893" s="218"/>
      <c r="D893" s="216"/>
      <c r="E893" s="216"/>
      <c r="F893" s="217"/>
    </row>
    <row r="894">
      <c r="A894" s="216"/>
      <c r="B894" s="217"/>
      <c r="C894" s="218"/>
      <c r="D894" s="216"/>
      <c r="E894" s="216"/>
      <c r="F894" s="217"/>
    </row>
    <row r="895">
      <c r="A895" s="216"/>
      <c r="B895" s="217"/>
      <c r="C895" s="218"/>
      <c r="D895" s="216"/>
      <c r="E895" s="216"/>
      <c r="F895" s="217"/>
    </row>
    <row r="896">
      <c r="A896" s="216"/>
      <c r="B896" s="217"/>
      <c r="C896" s="218"/>
      <c r="D896" s="216"/>
      <c r="E896" s="216"/>
      <c r="F896" s="217"/>
    </row>
    <row r="897">
      <c r="A897" s="216"/>
      <c r="B897" s="217"/>
      <c r="C897" s="218"/>
      <c r="D897" s="216"/>
      <c r="E897" s="216"/>
      <c r="F897" s="217"/>
    </row>
    <row r="898">
      <c r="A898" s="216"/>
      <c r="B898" s="217"/>
      <c r="C898" s="218"/>
      <c r="D898" s="216"/>
      <c r="E898" s="216"/>
      <c r="F898" s="217"/>
    </row>
    <row r="899">
      <c r="A899" s="216"/>
      <c r="B899" s="217"/>
      <c r="C899" s="218"/>
      <c r="D899" s="216"/>
      <c r="E899" s="216"/>
      <c r="F899" s="217"/>
    </row>
    <row r="900">
      <c r="A900" s="216"/>
      <c r="B900" s="217"/>
      <c r="C900" s="218"/>
      <c r="D900" s="216"/>
      <c r="E900" s="216"/>
      <c r="F900" s="217"/>
    </row>
    <row r="901">
      <c r="A901" s="216"/>
      <c r="B901" s="217"/>
      <c r="C901" s="218"/>
      <c r="D901" s="216"/>
      <c r="E901" s="216"/>
      <c r="F901" s="217"/>
    </row>
    <row r="902">
      <c r="A902" s="216"/>
      <c r="B902" s="217"/>
      <c r="C902" s="218"/>
      <c r="D902" s="216"/>
      <c r="E902" s="216"/>
      <c r="F902" s="217"/>
    </row>
    <row r="903">
      <c r="A903" s="216"/>
      <c r="B903" s="217"/>
      <c r="C903" s="218"/>
      <c r="D903" s="216"/>
      <c r="E903" s="216"/>
      <c r="F903" s="217"/>
    </row>
    <row r="904">
      <c r="A904" s="216"/>
      <c r="B904" s="217"/>
      <c r="C904" s="218"/>
      <c r="D904" s="216"/>
      <c r="E904" s="216"/>
      <c r="F904" s="217"/>
    </row>
    <row r="905">
      <c r="A905" s="216"/>
      <c r="B905" s="217"/>
      <c r="C905" s="218"/>
      <c r="D905" s="216"/>
      <c r="E905" s="216"/>
      <c r="F905" s="217"/>
    </row>
    <row r="906">
      <c r="A906" s="216"/>
      <c r="B906" s="217"/>
      <c r="C906" s="218"/>
      <c r="D906" s="216"/>
      <c r="E906" s="216"/>
      <c r="F906" s="217"/>
    </row>
    <row r="907">
      <c r="A907" s="216"/>
      <c r="B907" s="217"/>
      <c r="C907" s="218"/>
      <c r="D907" s="216"/>
      <c r="E907" s="216"/>
      <c r="F907" s="217"/>
    </row>
    <row r="908">
      <c r="A908" s="216"/>
      <c r="B908" s="217"/>
      <c r="C908" s="218"/>
      <c r="D908" s="216"/>
      <c r="E908" s="216"/>
      <c r="F908" s="217"/>
    </row>
    <row r="909">
      <c r="A909" s="216"/>
      <c r="B909" s="217"/>
      <c r="C909" s="218"/>
      <c r="D909" s="216"/>
      <c r="E909" s="216"/>
      <c r="F909" s="217"/>
    </row>
    <row r="910">
      <c r="A910" s="216"/>
      <c r="B910" s="217"/>
      <c r="C910" s="218"/>
      <c r="D910" s="216"/>
      <c r="E910" s="216"/>
      <c r="F910" s="217"/>
    </row>
    <row r="911">
      <c r="A911" s="216"/>
      <c r="B911" s="217"/>
      <c r="C911" s="218"/>
      <c r="D911" s="216"/>
      <c r="E911" s="216"/>
      <c r="F911" s="217"/>
    </row>
    <row r="912">
      <c r="A912" s="216"/>
      <c r="B912" s="217"/>
      <c r="C912" s="218"/>
      <c r="D912" s="216"/>
      <c r="E912" s="216"/>
      <c r="F912" s="217"/>
    </row>
    <row r="913">
      <c r="A913" s="216"/>
      <c r="B913" s="217"/>
      <c r="C913" s="218"/>
      <c r="D913" s="216"/>
      <c r="E913" s="216"/>
      <c r="F913" s="217"/>
    </row>
    <row r="914">
      <c r="A914" s="216"/>
      <c r="B914" s="217"/>
      <c r="C914" s="218"/>
      <c r="D914" s="216"/>
      <c r="E914" s="216"/>
      <c r="F914" s="217"/>
    </row>
    <row r="915">
      <c r="A915" s="216"/>
      <c r="B915" s="217"/>
      <c r="C915" s="218"/>
      <c r="D915" s="216"/>
      <c r="E915" s="216"/>
      <c r="F915" s="217"/>
    </row>
    <row r="916">
      <c r="A916" s="216"/>
      <c r="B916" s="217"/>
      <c r="C916" s="218"/>
      <c r="D916" s="216"/>
      <c r="E916" s="216"/>
      <c r="F916" s="217"/>
    </row>
    <row r="917">
      <c r="A917" s="216"/>
      <c r="B917" s="217"/>
      <c r="C917" s="218"/>
      <c r="D917" s="216"/>
      <c r="E917" s="216"/>
      <c r="F917" s="217"/>
    </row>
    <row r="918">
      <c r="A918" s="216"/>
      <c r="B918" s="217"/>
      <c r="C918" s="218"/>
      <c r="D918" s="216"/>
      <c r="E918" s="216"/>
      <c r="F918" s="217"/>
    </row>
    <row r="919">
      <c r="A919" s="216"/>
      <c r="B919" s="217"/>
      <c r="C919" s="218"/>
      <c r="D919" s="216"/>
      <c r="E919" s="216"/>
      <c r="F919" s="217"/>
    </row>
    <row r="920">
      <c r="A920" s="216"/>
      <c r="B920" s="217"/>
      <c r="C920" s="218"/>
      <c r="D920" s="216"/>
      <c r="E920" s="216"/>
      <c r="F920" s="217"/>
    </row>
    <row r="921">
      <c r="A921" s="216"/>
      <c r="B921" s="217"/>
      <c r="C921" s="218"/>
      <c r="D921" s="216"/>
      <c r="E921" s="216"/>
      <c r="F921" s="217"/>
    </row>
    <row r="922">
      <c r="A922" s="216"/>
      <c r="B922" s="217"/>
      <c r="C922" s="218"/>
      <c r="D922" s="216"/>
      <c r="E922" s="216"/>
      <c r="F922" s="217"/>
    </row>
    <row r="923">
      <c r="A923" s="216"/>
      <c r="B923" s="217"/>
      <c r="C923" s="218"/>
      <c r="D923" s="216"/>
      <c r="E923" s="216"/>
      <c r="F923" s="217"/>
    </row>
    <row r="924">
      <c r="A924" s="216"/>
      <c r="B924" s="217"/>
      <c r="C924" s="218"/>
      <c r="D924" s="216"/>
      <c r="E924" s="216"/>
      <c r="F924" s="217"/>
    </row>
    <row r="925">
      <c r="A925" s="216"/>
      <c r="B925" s="217"/>
      <c r="C925" s="218"/>
      <c r="D925" s="216"/>
      <c r="E925" s="216"/>
      <c r="F925" s="217"/>
    </row>
    <row r="926">
      <c r="A926" s="216"/>
      <c r="B926" s="217"/>
      <c r="C926" s="218"/>
      <c r="D926" s="216"/>
      <c r="E926" s="216"/>
      <c r="F926" s="217"/>
    </row>
    <row r="927">
      <c r="A927" s="216"/>
      <c r="B927" s="217"/>
      <c r="C927" s="218"/>
      <c r="D927" s="216"/>
      <c r="E927" s="216"/>
      <c r="F927" s="217"/>
    </row>
    <row r="928">
      <c r="A928" s="216"/>
      <c r="B928" s="217"/>
      <c r="C928" s="218"/>
      <c r="D928" s="216"/>
      <c r="E928" s="216"/>
      <c r="F928" s="217"/>
    </row>
    <row r="929">
      <c r="A929" s="216"/>
      <c r="B929" s="217"/>
      <c r="C929" s="218"/>
      <c r="D929" s="216"/>
      <c r="E929" s="216"/>
      <c r="F929" s="217"/>
    </row>
    <row r="930">
      <c r="A930" s="216"/>
      <c r="B930" s="217"/>
      <c r="C930" s="218"/>
      <c r="D930" s="216"/>
      <c r="E930" s="216"/>
      <c r="F930" s="217"/>
    </row>
    <row r="931">
      <c r="A931" s="216"/>
      <c r="B931" s="217"/>
      <c r="C931" s="218"/>
      <c r="D931" s="216"/>
      <c r="E931" s="216"/>
      <c r="F931" s="217"/>
    </row>
    <row r="932">
      <c r="A932" s="216"/>
      <c r="B932" s="217"/>
      <c r="C932" s="218"/>
      <c r="D932" s="216"/>
      <c r="E932" s="216"/>
      <c r="F932" s="217"/>
    </row>
    <row r="933">
      <c r="A933" s="216"/>
      <c r="B933" s="217"/>
      <c r="C933" s="218"/>
      <c r="D933" s="216"/>
      <c r="E933" s="216"/>
      <c r="F933" s="217"/>
    </row>
    <row r="934">
      <c r="A934" s="216"/>
      <c r="B934" s="217"/>
      <c r="C934" s="218"/>
      <c r="D934" s="216"/>
      <c r="E934" s="216"/>
      <c r="F934" s="217"/>
    </row>
    <row r="935">
      <c r="A935" s="216"/>
      <c r="B935" s="217"/>
      <c r="C935" s="218"/>
      <c r="D935" s="216"/>
      <c r="E935" s="216"/>
      <c r="F935" s="217"/>
    </row>
    <row r="936">
      <c r="A936" s="216"/>
      <c r="B936" s="217"/>
      <c r="C936" s="218"/>
      <c r="D936" s="216"/>
      <c r="E936" s="216"/>
      <c r="F936" s="217"/>
    </row>
    <row r="937">
      <c r="A937" s="216"/>
      <c r="B937" s="217"/>
      <c r="C937" s="218"/>
      <c r="D937" s="216"/>
      <c r="E937" s="216"/>
      <c r="F937" s="217"/>
    </row>
    <row r="938">
      <c r="A938" s="216"/>
      <c r="B938" s="217"/>
      <c r="C938" s="218"/>
      <c r="D938" s="216"/>
      <c r="E938" s="216"/>
      <c r="F938" s="217"/>
    </row>
    <row r="939">
      <c r="A939" s="216"/>
      <c r="B939" s="217"/>
      <c r="C939" s="218"/>
      <c r="D939" s="216"/>
      <c r="E939" s="216"/>
      <c r="F939" s="217"/>
    </row>
    <row r="940">
      <c r="A940" s="216"/>
      <c r="B940" s="217"/>
      <c r="C940" s="218"/>
      <c r="D940" s="216"/>
      <c r="E940" s="216"/>
      <c r="F940" s="217"/>
    </row>
    <row r="941">
      <c r="A941" s="216"/>
      <c r="B941" s="217"/>
      <c r="C941" s="218"/>
      <c r="D941" s="216"/>
      <c r="E941" s="216"/>
      <c r="F941" s="217"/>
    </row>
    <row r="942">
      <c r="A942" s="216"/>
      <c r="B942" s="217"/>
      <c r="C942" s="218"/>
      <c r="D942" s="216"/>
      <c r="E942" s="216"/>
      <c r="F942" s="217"/>
    </row>
    <row r="943">
      <c r="A943" s="216"/>
      <c r="B943" s="217"/>
      <c r="C943" s="218"/>
      <c r="D943" s="216"/>
      <c r="E943" s="216"/>
      <c r="F943" s="217"/>
    </row>
    <row r="944">
      <c r="A944" s="216"/>
      <c r="B944" s="217"/>
      <c r="C944" s="218"/>
      <c r="D944" s="216"/>
      <c r="E944" s="216"/>
      <c r="F944" s="217"/>
    </row>
    <row r="945">
      <c r="A945" s="216"/>
      <c r="B945" s="217"/>
      <c r="C945" s="218"/>
      <c r="D945" s="216"/>
      <c r="E945" s="216"/>
      <c r="F945" s="217"/>
    </row>
    <row r="946">
      <c r="A946" s="216"/>
      <c r="B946" s="217"/>
      <c r="C946" s="218"/>
      <c r="D946" s="216"/>
      <c r="E946" s="216"/>
      <c r="F946" s="217"/>
    </row>
    <row r="947">
      <c r="A947" s="216"/>
      <c r="B947" s="217"/>
      <c r="C947" s="218"/>
      <c r="D947" s="216"/>
      <c r="E947" s="216"/>
      <c r="F947" s="217"/>
    </row>
    <row r="948">
      <c r="A948" s="216"/>
      <c r="B948" s="217"/>
      <c r="C948" s="218"/>
      <c r="D948" s="216"/>
      <c r="E948" s="216"/>
      <c r="F948" s="217"/>
    </row>
    <row r="949">
      <c r="A949" s="216"/>
      <c r="B949" s="217"/>
      <c r="C949" s="218"/>
      <c r="D949" s="216"/>
      <c r="E949" s="216"/>
      <c r="F949" s="217"/>
    </row>
    <row r="950">
      <c r="A950" s="216"/>
      <c r="B950" s="217"/>
      <c r="C950" s="218"/>
      <c r="D950" s="216"/>
      <c r="E950" s="216"/>
      <c r="F950" s="217"/>
    </row>
    <row r="951">
      <c r="A951" s="216"/>
      <c r="B951" s="217"/>
      <c r="C951" s="218"/>
      <c r="D951" s="216"/>
      <c r="E951" s="216"/>
      <c r="F951" s="217"/>
    </row>
    <row r="952">
      <c r="A952" s="216"/>
      <c r="B952" s="217"/>
      <c r="C952" s="218"/>
      <c r="D952" s="216"/>
      <c r="E952" s="216"/>
      <c r="F952" s="217"/>
    </row>
    <row r="953">
      <c r="A953" s="216"/>
      <c r="B953" s="217"/>
      <c r="C953" s="218"/>
      <c r="D953" s="216"/>
      <c r="E953" s="216"/>
      <c r="F953" s="217"/>
    </row>
    <row r="954">
      <c r="A954" s="216"/>
      <c r="B954" s="217"/>
      <c r="C954" s="218"/>
      <c r="D954" s="216"/>
      <c r="E954" s="216"/>
      <c r="F954" s="217"/>
    </row>
    <row r="955">
      <c r="A955" s="216"/>
      <c r="B955" s="217"/>
      <c r="C955" s="218"/>
      <c r="D955" s="216"/>
      <c r="E955" s="216"/>
      <c r="F955" s="217"/>
    </row>
    <row r="956">
      <c r="A956" s="216"/>
      <c r="B956" s="217"/>
      <c r="C956" s="218"/>
      <c r="D956" s="216"/>
      <c r="E956" s="216"/>
      <c r="F956" s="217"/>
    </row>
    <row r="957">
      <c r="A957" s="216"/>
      <c r="B957" s="217"/>
      <c r="C957" s="218"/>
      <c r="D957" s="216"/>
      <c r="E957" s="216"/>
      <c r="F957" s="217"/>
    </row>
    <row r="958">
      <c r="A958" s="216"/>
      <c r="B958" s="217"/>
      <c r="C958" s="218"/>
      <c r="D958" s="216"/>
      <c r="E958" s="216"/>
      <c r="F958" s="217"/>
    </row>
    <row r="959">
      <c r="A959" s="216"/>
      <c r="B959" s="217"/>
      <c r="C959" s="218"/>
      <c r="D959" s="216"/>
      <c r="E959" s="216"/>
      <c r="F959" s="217"/>
    </row>
    <row r="960">
      <c r="A960" s="216"/>
      <c r="B960" s="217"/>
      <c r="C960" s="218"/>
      <c r="D960" s="216"/>
      <c r="E960" s="216"/>
      <c r="F960" s="217"/>
    </row>
    <row r="961">
      <c r="A961" s="216"/>
      <c r="B961" s="217"/>
      <c r="C961" s="218"/>
      <c r="D961" s="216"/>
      <c r="E961" s="216"/>
      <c r="F961" s="217"/>
    </row>
    <row r="962">
      <c r="A962" s="216"/>
      <c r="B962" s="217"/>
      <c r="C962" s="218"/>
      <c r="D962" s="216"/>
      <c r="E962" s="216"/>
      <c r="F962" s="217"/>
    </row>
    <row r="963">
      <c r="A963" s="216"/>
      <c r="B963" s="217"/>
      <c r="C963" s="218"/>
      <c r="D963" s="216"/>
      <c r="E963" s="216"/>
      <c r="F963" s="217"/>
    </row>
    <row r="964">
      <c r="A964" s="216"/>
      <c r="B964" s="217"/>
      <c r="C964" s="218"/>
      <c r="D964" s="216"/>
      <c r="E964" s="216"/>
      <c r="F964" s="217"/>
    </row>
    <row r="965">
      <c r="A965" s="216"/>
      <c r="B965" s="217"/>
      <c r="C965" s="218"/>
      <c r="D965" s="216"/>
      <c r="E965" s="216"/>
      <c r="F965" s="217"/>
    </row>
    <row r="966">
      <c r="A966" s="216"/>
      <c r="B966" s="217"/>
      <c r="C966" s="218"/>
      <c r="D966" s="216"/>
      <c r="E966" s="216"/>
      <c r="F966" s="217"/>
    </row>
    <row r="967">
      <c r="A967" s="216"/>
      <c r="B967" s="217"/>
      <c r="C967" s="218"/>
      <c r="D967" s="216"/>
      <c r="E967" s="216"/>
      <c r="F967" s="217"/>
    </row>
    <row r="968">
      <c r="A968" s="216"/>
      <c r="B968" s="217"/>
      <c r="C968" s="218"/>
      <c r="D968" s="216"/>
      <c r="E968" s="216"/>
      <c r="F968" s="217"/>
    </row>
    <row r="969">
      <c r="A969" s="216"/>
      <c r="B969" s="217"/>
      <c r="C969" s="218"/>
      <c r="D969" s="216"/>
      <c r="E969" s="216"/>
      <c r="F969" s="217"/>
    </row>
    <row r="970">
      <c r="A970" s="216"/>
      <c r="B970" s="217"/>
      <c r="C970" s="218"/>
      <c r="D970" s="216"/>
      <c r="E970" s="216"/>
      <c r="F970" s="217"/>
    </row>
    <row r="971">
      <c r="A971" s="216"/>
      <c r="B971" s="217"/>
      <c r="C971" s="218"/>
      <c r="D971" s="216"/>
      <c r="E971" s="216"/>
      <c r="F971" s="217"/>
    </row>
    <row r="972">
      <c r="A972" s="216"/>
      <c r="B972" s="217"/>
      <c r="C972" s="218"/>
      <c r="D972" s="216"/>
      <c r="E972" s="216"/>
      <c r="F972" s="217"/>
    </row>
    <row r="973">
      <c r="A973" s="216"/>
      <c r="B973" s="217"/>
      <c r="C973" s="218"/>
      <c r="D973" s="216"/>
      <c r="E973" s="216"/>
      <c r="F973" s="217"/>
    </row>
    <row r="974">
      <c r="A974" s="216"/>
      <c r="B974" s="217"/>
      <c r="C974" s="218"/>
      <c r="D974" s="216"/>
      <c r="E974" s="216"/>
      <c r="F974" s="217"/>
    </row>
    <row r="975">
      <c r="A975" s="216"/>
      <c r="B975" s="217"/>
      <c r="C975" s="218"/>
      <c r="D975" s="216"/>
      <c r="E975" s="216"/>
      <c r="F975" s="217"/>
    </row>
    <row r="976">
      <c r="A976" s="216"/>
      <c r="B976" s="217"/>
      <c r="C976" s="218"/>
      <c r="D976" s="216"/>
      <c r="E976" s="216"/>
      <c r="F976" s="217"/>
    </row>
    <row r="977">
      <c r="A977" s="216"/>
      <c r="B977" s="217"/>
      <c r="C977" s="218"/>
      <c r="D977" s="216"/>
      <c r="E977" s="216"/>
      <c r="F977" s="217"/>
    </row>
    <row r="978">
      <c r="A978" s="216"/>
      <c r="B978" s="217"/>
      <c r="C978" s="218"/>
      <c r="D978" s="216"/>
      <c r="E978" s="216"/>
      <c r="F978" s="217"/>
    </row>
    <row r="979">
      <c r="A979" s="216"/>
      <c r="B979" s="217"/>
      <c r="C979" s="218"/>
      <c r="D979" s="216"/>
      <c r="E979" s="216"/>
      <c r="F979" s="217"/>
    </row>
    <row r="980">
      <c r="A980" s="216"/>
      <c r="B980" s="217"/>
      <c r="C980" s="218"/>
      <c r="D980" s="216"/>
      <c r="E980" s="216"/>
      <c r="F980" s="217"/>
    </row>
    <row r="981">
      <c r="A981" s="216"/>
      <c r="B981" s="217"/>
      <c r="C981" s="218"/>
      <c r="D981" s="216"/>
      <c r="E981" s="216"/>
      <c r="F981" s="217"/>
    </row>
    <row r="982">
      <c r="A982" s="216"/>
      <c r="B982" s="217"/>
      <c r="C982" s="218"/>
      <c r="D982" s="216"/>
      <c r="E982" s="216"/>
      <c r="F982" s="217"/>
    </row>
    <row r="983">
      <c r="A983" s="216"/>
      <c r="B983" s="217"/>
      <c r="C983" s="218"/>
      <c r="D983" s="216"/>
      <c r="E983" s="216"/>
      <c r="F983" s="217"/>
    </row>
    <row r="984">
      <c r="A984" s="216"/>
      <c r="B984" s="217"/>
      <c r="C984" s="218"/>
      <c r="D984" s="216"/>
      <c r="E984" s="216"/>
      <c r="F984" s="217"/>
    </row>
    <row r="985">
      <c r="A985" s="216"/>
      <c r="B985" s="217"/>
      <c r="C985" s="218"/>
      <c r="D985" s="216"/>
      <c r="E985" s="216"/>
      <c r="F985" s="217"/>
    </row>
    <row r="986">
      <c r="A986" s="216"/>
      <c r="B986" s="217"/>
      <c r="C986" s="218"/>
      <c r="D986" s="216"/>
      <c r="E986" s="216"/>
      <c r="F986" s="217"/>
    </row>
    <row r="987">
      <c r="A987" s="216"/>
      <c r="B987" s="217"/>
      <c r="C987" s="218"/>
      <c r="D987" s="216"/>
      <c r="E987" s="216"/>
      <c r="F987" s="217"/>
    </row>
    <row r="988">
      <c r="A988" s="216"/>
      <c r="B988" s="217"/>
      <c r="C988" s="218"/>
      <c r="D988" s="216"/>
      <c r="E988" s="216"/>
      <c r="F988" s="217"/>
    </row>
    <row r="989">
      <c r="A989" s="216"/>
      <c r="B989" s="217"/>
      <c r="C989" s="218"/>
      <c r="D989" s="216"/>
      <c r="E989" s="216"/>
      <c r="F989" s="217"/>
    </row>
    <row r="990">
      <c r="A990" s="216"/>
      <c r="B990" s="217"/>
      <c r="C990" s="218"/>
      <c r="D990" s="216"/>
      <c r="E990" s="216"/>
      <c r="F990" s="217"/>
    </row>
    <row r="991">
      <c r="A991" s="216"/>
      <c r="B991" s="217"/>
      <c r="C991" s="218"/>
      <c r="D991" s="216"/>
      <c r="E991" s="216"/>
      <c r="F991" s="217"/>
    </row>
    <row r="992">
      <c r="A992" s="216"/>
      <c r="B992" s="217"/>
      <c r="C992" s="218"/>
      <c r="D992" s="216"/>
      <c r="E992" s="216"/>
      <c r="F992" s="217"/>
    </row>
    <row r="993">
      <c r="A993" s="216"/>
      <c r="B993" s="217"/>
      <c r="C993" s="218"/>
      <c r="D993" s="216"/>
      <c r="E993" s="216"/>
      <c r="F993" s="217"/>
    </row>
    <row r="994">
      <c r="A994" s="216"/>
      <c r="B994" s="217"/>
      <c r="C994" s="218"/>
      <c r="D994" s="216"/>
      <c r="E994" s="216"/>
      <c r="F994" s="217"/>
    </row>
    <row r="995">
      <c r="A995" s="216"/>
      <c r="B995" s="217"/>
      <c r="C995" s="218"/>
      <c r="D995" s="216"/>
      <c r="E995" s="216"/>
      <c r="F995" s="217"/>
    </row>
    <row r="996">
      <c r="A996" s="216"/>
      <c r="B996" s="217"/>
      <c r="C996" s="218"/>
      <c r="D996" s="216"/>
      <c r="E996" s="216"/>
      <c r="F996" s="2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1.13"/>
    <col customWidth="1" min="3" max="3" width="17.75"/>
  </cols>
  <sheetData>
    <row r="1">
      <c r="A1" s="219"/>
      <c r="B1" s="220" t="s">
        <v>1023</v>
      </c>
      <c r="C1" s="219"/>
    </row>
    <row r="2">
      <c r="A2" s="219"/>
      <c r="B2" s="219"/>
      <c r="C2" s="219"/>
    </row>
    <row r="3">
      <c r="A3" s="221" t="s">
        <v>1024</v>
      </c>
      <c r="B3" s="221" t="s">
        <v>1025</v>
      </c>
      <c r="C3" s="221" t="s">
        <v>1026</v>
      </c>
    </row>
    <row r="4">
      <c r="A4" s="222" t="s">
        <v>752</v>
      </c>
      <c r="B4" s="222" t="s">
        <v>1027</v>
      </c>
      <c r="C4" s="222" t="s">
        <v>1028</v>
      </c>
    </row>
    <row r="5">
      <c r="A5" s="222" t="s">
        <v>752</v>
      </c>
      <c r="B5" s="222" t="s">
        <v>1029</v>
      </c>
      <c r="C5" s="222" t="s">
        <v>1030</v>
      </c>
    </row>
    <row r="6">
      <c r="A6" s="223" t="s">
        <v>1031</v>
      </c>
      <c r="B6" s="222" t="s">
        <v>1032</v>
      </c>
      <c r="C6" s="222" t="s">
        <v>1033</v>
      </c>
    </row>
    <row r="7">
      <c r="A7" s="222" t="s">
        <v>752</v>
      </c>
      <c r="B7" s="222" t="s">
        <v>1034</v>
      </c>
      <c r="C7" s="222" t="s">
        <v>1035</v>
      </c>
    </row>
    <row r="8">
      <c r="A8" s="224" t="s">
        <v>1036</v>
      </c>
      <c r="B8" s="222" t="s">
        <v>1037</v>
      </c>
      <c r="C8" s="222" t="s">
        <v>1038</v>
      </c>
    </row>
    <row r="9">
      <c r="A9" s="223" t="s">
        <v>1039</v>
      </c>
      <c r="B9" s="223" t="s">
        <v>1040</v>
      </c>
      <c r="C9" s="222" t="s">
        <v>1041</v>
      </c>
    </row>
    <row r="10">
      <c r="A10" s="223" t="s">
        <v>1042</v>
      </c>
      <c r="B10" s="222" t="s">
        <v>1043</v>
      </c>
      <c r="C10" s="222" t="s">
        <v>1044</v>
      </c>
    </row>
    <row r="11">
      <c r="A11" s="223" t="s">
        <v>1045</v>
      </c>
      <c r="B11" s="222" t="s">
        <v>1046</v>
      </c>
      <c r="C11" s="222" t="s">
        <v>1041</v>
      </c>
    </row>
    <row r="12">
      <c r="A12" s="223" t="s">
        <v>1047</v>
      </c>
      <c r="B12" s="222" t="s">
        <v>1048</v>
      </c>
      <c r="C12" s="222" t="s">
        <v>1041</v>
      </c>
    </row>
    <row r="13">
      <c r="A13" s="223" t="s">
        <v>1047</v>
      </c>
      <c r="B13" s="222" t="s">
        <v>1049</v>
      </c>
      <c r="C13" s="222" t="s">
        <v>1033</v>
      </c>
    </row>
    <row r="14">
      <c r="A14" s="225" t="s">
        <v>1047</v>
      </c>
      <c r="B14" s="225" t="s">
        <v>1050</v>
      </c>
      <c r="C14" s="225" t="s">
        <v>1033</v>
      </c>
    </row>
    <row r="15">
      <c r="A15" s="223" t="s">
        <v>1051</v>
      </c>
      <c r="B15" s="222" t="s">
        <v>1052</v>
      </c>
      <c r="C15" s="222" t="s">
        <v>1053</v>
      </c>
    </row>
    <row r="16">
      <c r="A16" s="223" t="s">
        <v>1054</v>
      </c>
      <c r="B16" s="222" t="s">
        <v>1055</v>
      </c>
      <c r="C16" s="222" t="s">
        <v>1033</v>
      </c>
    </row>
    <row r="17">
      <c r="A17" s="223" t="s">
        <v>1056</v>
      </c>
      <c r="B17" s="222" t="s">
        <v>1057</v>
      </c>
      <c r="C17" s="222" t="s">
        <v>1041</v>
      </c>
    </row>
    <row r="18">
      <c r="A18" s="222" t="s">
        <v>1056</v>
      </c>
      <c r="B18" s="222" t="s">
        <v>1058</v>
      </c>
      <c r="C18" s="222" t="s">
        <v>1059</v>
      </c>
    </row>
    <row r="19">
      <c r="A19" s="222" t="s">
        <v>1056</v>
      </c>
      <c r="B19" s="222" t="s">
        <v>1060</v>
      </c>
      <c r="C19" s="222" t="s">
        <v>1061</v>
      </c>
    </row>
    <row r="20">
      <c r="A20" s="222" t="s">
        <v>738</v>
      </c>
      <c r="B20" s="222" t="s">
        <v>1062</v>
      </c>
      <c r="C20" s="222" t="s">
        <v>1041</v>
      </c>
    </row>
    <row r="21">
      <c r="A21" s="222" t="s">
        <v>738</v>
      </c>
      <c r="B21" s="222" t="s">
        <v>1063</v>
      </c>
      <c r="C21" s="222" t="s">
        <v>1064</v>
      </c>
    </row>
    <row r="22">
      <c r="A22" s="222" t="s">
        <v>1065</v>
      </c>
      <c r="B22" s="222" t="s">
        <v>1066</v>
      </c>
      <c r="C22" s="222" t="s">
        <v>1067</v>
      </c>
    </row>
    <row r="23">
      <c r="A23" s="222" t="s">
        <v>1065</v>
      </c>
      <c r="B23" s="222" t="s">
        <v>1068</v>
      </c>
      <c r="C23" s="222" t="s">
        <v>1067</v>
      </c>
    </row>
    <row r="24">
      <c r="A24" s="224" t="s">
        <v>19</v>
      </c>
      <c r="B24" s="222" t="s">
        <v>1069</v>
      </c>
      <c r="C24" s="222" t="s">
        <v>1070</v>
      </c>
    </row>
    <row r="25">
      <c r="A25" s="222" t="s">
        <v>1071</v>
      </c>
      <c r="B25" s="222" t="s">
        <v>1072</v>
      </c>
      <c r="C25" s="222" t="s">
        <v>1073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88"/>
    <col customWidth="1" min="3" max="3" width="49.88"/>
    <col customWidth="1" min="8" max="8" width="54.75"/>
    <col customWidth="1" min="13" max="13" width="26.38"/>
    <col customWidth="1" min="16" max="16" width="12.25"/>
    <col customWidth="1" min="17" max="17" width="52.88"/>
    <col customWidth="1" min="18" max="18" width="12.13"/>
    <col customWidth="1" min="19" max="19" width="30.0"/>
  </cols>
  <sheetData>
    <row r="1">
      <c r="A1" s="226"/>
      <c r="B1" s="2"/>
      <c r="C1" s="3" t="s">
        <v>0</v>
      </c>
      <c r="G1" s="227"/>
      <c r="H1" s="227"/>
      <c r="I1" s="227"/>
      <c r="O1" s="36" t="s">
        <v>21</v>
      </c>
      <c r="P1" s="228" t="s">
        <v>729</v>
      </c>
      <c r="Q1" s="228" t="s">
        <v>1074</v>
      </c>
      <c r="R1" s="228" t="s">
        <v>1075</v>
      </c>
      <c r="S1" s="228" t="s">
        <v>1076</v>
      </c>
    </row>
    <row r="2">
      <c r="A2" s="226"/>
      <c r="B2" s="7"/>
      <c r="C2" s="4" t="s">
        <v>2</v>
      </c>
      <c r="G2" s="227"/>
      <c r="H2" s="227"/>
      <c r="I2" s="227"/>
      <c r="O2" s="226">
        <f t="shared" ref="O2:O119" si="1">ROW()-1</f>
        <v>1</v>
      </c>
      <c r="P2" s="229">
        <v>43112.0</v>
      </c>
      <c r="Q2" s="228" t="s">
        <v>204</v>
      </c>
      <c r="R2" s="228" t="s">
        <v>1077</v>
      </c>
      <c r="S2" s="228" t="s">
        <v>1078</v>
      </c>
      <c r="T2" s="230" t="str">
        <f>VLOOKUP(Q2,'Lịch kiểm kê 2025'!E:E,1,0)</f>
        <v>KFM_HCM_Q07 - 31 Tân Mỹ - MART</v>
      </c>
    </row>
    <row r="3">
      <c r="A3" s="226"/>
      <c r="B3" s="7"/>
      <c r="C3" s="12" t="s">
        <v>5</v>
      </c>
      <c r="G3" s="227"/>
      <c r="H3" s="227"/>
      <c r="I3" s="227"/>
      <c r="O3" s="226">
        <f t="shared" si="1"/>
        <v>2</v>
      </c>
      <c r="P3" s="231" t="s">
        <v>1079</v>
      </c>
      <c r="Q3" s="228" t="s">
        <v>152</v>
      </c>
      <c r="R3" s="228" t="s">
        <v>1080</v>
      </c>
      <c r="S3" s="228" t="s">
        <v>1081</v>
      </c>
      <c r="T3" s="230" t="str">
        <f>VLOOKUP(Q3,'Lịch kiểm kê 2025'!E:E,1,0)</f>
        <v>KFM_HCM_Q10 - BB17 Trường Sơn - MART</v>
      </c>
    </row>
    <row r="4">
      <c r="A4" s="226"/>
      <c r="B4" s="7"/>
      <c r="C4" s="15" t="s">
        <v>8</v>
      </c>
      <c r="G4" s="227"/>
      <c r="H4" s="227"/>
      <c r="I4" s="227"/>
      <c r="O4" s="226">
        <f t="shared" si="1"/>
        <v>3</v>
      </c>
      <c r="P4" s="229">
        <v>44114.0</v>
      </c>
      <c r="Q4" s="228" t="s">
        <v>255</v>
      </c>
      <c r="R4" s="228" t="s">
        <v>1080</v>
      </c>
      <c r="S4" s="228" t="s">
        <v>1082</v>
      </c>
      <c r="T4" s="230" t="str">
        <f>VLOOKUP(Q4,'Lịch kiểm kê 2025'!E:E,1,0)</f>
        <v>KFM_HCM_TBI - 22 Hoàng Hoa Thám - MART</v>
      </c>
    </row>
    <row r="5">
      <c r="A5" s="226"/>
      <c r="B5" s="7"/>
      <c r="C5" s="15" t="s">
        <v>11</v>
      </c>
      <c r="G5" s="232" t="s">
        <v>22</v>
      </c>
      <c r="H5" s="233" t="s">
        <v>1083</v>
      </c>
      <c r="I5" s="234" t="s">
        <v>1084</v>
      </c>
      <c r="K5" s="235" t="s">
        <v>1085</v>
      </c>
      <c r="L5" s="236" t="s">
        <v>19</v>
      </c>
      <c r="M5" s="236" t="s">
        <v>1086</v>
      </c>
      <c r="O5" s="226">
        <f t="shared" si="1"/>
        <v>4</v>
      </c>
      <c r="P5" s="231" t="s">
        <v>1087</v>
      </c>
      <c r="Q5" s="228" t="s">
        <v>335</v>
      </c>
      <c r="R5" s="228" t="s">
        <v>1077</v>
      </c>
      <c r="S5" s="228" t="s">
        <v>1088</v>
      </c>
      <c r="T5" s="230" t="str">
        <f>VLOOKUP(Q5,'Lịch kiểm kê 2025'!E:E,1,0)</f>
        <v>KFM_HCM_Q07 - 571 Huỳnh Tấn Phát - MART</v>
      </c>
    </row>
    <row r="6">
      <c r="A6" s="226"/>
      <c r="B6" s="7"/>
      <c r="C6" s="15" t="s">
        <v>13</v>
      </c>
      <c r="G6" s="237" t="s">
        <v>893</v>
      </c>
      <c r="H6" s="238" t="s">
        <v>204</v>
      </c>
      <c r="I6" s="239" t="s">
        <v>1089</v>
      </c>
      <c r="K6" s="240" t="s">
        <v>1089</v>
      </c>
      <c r="L6" s="241" t="s">
        <v>1090</v>
      </c>
      <c r="M6" s="242" t="s">
        <v>743</v>
      </c>
      <c r="O6" s="226">
        <f t="shared" si="1"/>
        <v>5</v>
      </c>
      <c r="P6" s="231" t="s">
        <v>1091</v>
      </c>
      <c r="Q6" s="228" t="s">
        <v>311</v>
      </c>
      <c r="R6" s="228" t="s">
        <v>1077</v>
      </c>
      <c r="S6" s="243"/>
      <c r="T6" s="230" t="str">
        <f>VLOOKUP(Q6,'Lịch kiểm kê 2025'!E:E,1,0)</f>
        <v>KFM_HCM_BCH - 10 Phạm Hùng - MART</v>
      </c>
    </row>
    <row r="7">
      <c r="A7" s="226"/>
      <c r="B7" s="7"/>
      <c r="C7" s="15" t="s">
        <v>15</v>
      </c>
      <c r="G7" s="237" t="s">
        <v>896</v>
      </c>
      <c r="H7" s="238" t="s">
        <v>262</v>
      </c>
      <c r="I7" s="239" t="s">
        <v>1089</v>
      </c>
      <c r="K7" s="240" t="s">
        <v>1092</v>
      </c>
      <c r="L7" s="241" t="s">
        <v>1093</v>
      </c>
      <c r="M7" s="242" t="s">
        <v>784</v>
      </c>
      <c r="O7" s="226">
        <f t="shared" si="1"/>
        <v>6</v>
      </c>
      <c r="P7" s="231" t="s">
        <v>1094</v>
      </c>
      <c r="Q7" s="228" t="s">
        <v>340</v>
      </c>
      <c r="R7" s="228" t="s">
        <v>1077</v>
      </c>
      <c r="S7" s="228" t="s">
        <v>1095</v>
      </c>
      <c r="T7" s="230" t="str">
        <f>VLOOKUP(Q7,'Lịch kiểm kê 2025'!E:E,1,0)</f>
        <v>KFM_HCM_Q07 - 436 Nguyễn Thị Thập - MART</v>
      </c>
    </row>
    <row r="8">
      <c r="A8" s="226"/>
      <c r="B8" s="7"/>
      <c r="C8" s="7"/>
      <c r="G8" s="237" t="s">
        <v>913</v>
      </c>
      <c r="H8" s="238" t="s">
        <v>78</v>
      </c>
      <c r="I8" s="239" t="s">
        <v>1089</v>
      </c>
      <c r="K8" s="240" t="s">
        <v>1096</v>
      </c>
      <c r="L8" s="241" t="s">
        <v>1097</v>
      </c>
      <c r="M8" s="242" t="s">
        <v>751</v>
      </c>
      <c r="O8" s="226">
        <f t="shared" si="1"/>
        <v>7</v>
      </c>
      <c r="P8" s="229">
        <v>44624.0</v>
      </c>
      <c r="Q8" s="228" t="s">
        <v>389</v>
      </c>
      <c r="R8" s="228" t="s">
        <v>1080</v>
      </c>
      <c r="S8" s="228" t="s">
        <v>1098</v>
      </c>
      <c r="T8" s="230" t="str">
        <f>VLOOKUP(Q8,'Lịch kiểm kê 2025'!E:E,1,0)</f>
        <v>KFM_HCM_BTH - 54 Vũ Huy Tấn - MINI</v>
      </c>
    </row>
    <row r="9">
      <c r="A9" s="232" t="s">
        <v>22</v>
      </c>
      <c r="B9" s="21" t="s">
        <v>23</v>
      </c>
      <c r="C9" s="21" t="s">
        <v>24</v>
      </c>
      <c r="G9" s="237" t="s">
        <v>903</v>
      </c>
      <c r="H9" s="238" t="s">
        <v>85</v>
      </c>
      <c r="I9" s="239" t="s">
        <v>1089</v>
      </c>
      <c r="K9" s="240" t="s">
        <v>1099</v>
      </c>
      <c r="L9" s="241" t="s">
        <v>1100</v>
      </c>
      <c r="M9" s="242" t="s">
        <v>756</v>
      </c>
      <c r="O9" s="226">
        <f t="shared" si="1"/>
        <v>8</v>
      </c>
      <c r="P9" s="231" t="s">
        <v>1101</v>
      </c>
      <c r="Q9" s="228" t="s">
        <v>87</v>
      </c>
      <c r="R9" s="228" t="s">
        <v>1102</v>
      </c>
      <c r="S9" s="228" t="s">
        <v>1103</v>
      </c>
      <c r="T9" s="230" t="str">
        <f>VLOOKUP(Q9,'Lịch kiểm kê 2025'!E:E,1,0)</f>
        <v>KFM_HCM_GVA - 371 Nguyễn Kiệm - MINI</v>
      </c>
    </row>
    <row r="10">
      <c r="A10" s="226" t="str">
        <f t="shared" ref="A10:A108" si="2">XLOOKUP(C10,H:H,G:G)</f>
        <v>ERT</v>
      </c>
      <c r="B10" s="2" t="s">
        <v>1089</v>
      </c>
      <c r="C10" s="2" t="s">
        <v>130</v>
      </c>
      <c r="G10" s="237" t="s">
        <v>911</v>
      </c>
      <c r="H10" s="238" t="s">
        <v>218</v>
      </c>
      <c r="I10" s="239" t="s">
        <v>1089</v>
      </c>
      <c r="K10" s="240" t="s">
        <v>1104</v>
      </c>
      <c r="L10" s="241" t="s">
        <v>1105</v>
      </c>
      <c r="M10" s="242" t="s">
        <v>801</v>
      </c>
      <c r="O10" s="226">
        <f t="shared" si="1"/>
        <v>9</v>
      </c>
      <c r="P10" s="231" t="s">
        <v>1106</v>
      </c>
      <c r="Q10" s="228" t="s">
        <v>262</v>
      </c>
      <c r="R10" s="228" t="s">
        <v>1080</v>
      </c>
      <c r="S10" s="228" t="s">
        <v>1078</v>
      </c>
      <c r="T10" s="230" t="str">
        <f>VLOOKUP(Q10,'Lịch kiểm kê 2025'!E:E,1,0)</f>
        <v>KFM_HCM_Q07 - 43 Bùi Văn Ba - MINI</v>
      </c>
    </row>
    <row r="11">
      <c r="A11" s="226" t="str">
        <f t="shared" si="2"/>
        <v>DS7</v>
      </c>
      <c r="B11" s="2" t="s">
        <v>1099</v>
      </c>
      <c r="C11" s="2" t="s">
        <v>402</v>
      </c>
      <c r="G11" s="237" t="s">
        <v>907</v>
      </c>
      <c r="H11" s="238" t="s">
        <v>246</v>
      </c>
      <c r="I11" s="239" t="s">
        <v>1089</v>
      </c>
      <c r="K11" s="240" t="s">
        <v>1107</v>
      </c>
      <c r="L11" s="241" t="s">
        <v>1108</v>
      </c>
      <c r="M11" s="242" t="s">
        <v>814</v>
      </c>
      <c r="O11" s="226">
        <f t="shared" si="1"/>
        <v>10</v>
      </c>
      <c r="P11" s="231" t="s">
        <v>1109</v>
      </c>
      <c r="Q11" s="228" t="s">
        <v>194</v>
      </c>
      <c r="R11" s="228" t="s">
        <v>1077</v>
      </c>
      <c r="S11" s="228" t="s">
        <v>1103</v>
      </c>
      <c r="T11" s="230" t="str">
        <f>VLOOKUP(Q11,'Lịch kiểm kê 2025'!E:E,1,0)</f>
        <v>KFM_HCM_GVA - 308 Lê Văn Thọ - MINI</v>
      </c>
    </row>
    <row r="12">
      <c r="A12" s="226" t="str">
        <f t="shared" si="2"/>
        <v>PHG</v>
      </c>
      <c r="B12" s="2" t="s">
        <v>1099</v>
      </c>
      <c r="C12" s="2" t="s">
        <v>311</v>
      </c>
      <c r="G12" s="237" t="s">
        <v>900</v>
      </c>
      <c r="H12" s="238" t="s">
        <v>335</v>
      </c>
      <c r="I12" s="239" t="s">
        <v>1092</v>
      </c>
      <c r="K12" s="240" t="s">
        <v>1110</v>
      </c>
      <c r="L12" s="241" t="s">
        <v>1111</v>
      </c>
      <c r="M12" s="242" t="s">
        <v>818</v>
      </c>
      <c r="O12" s="226">
        <f t="shared" si="1"/>
        <v>11</v>
      </c>
      <c r="P12" s="231" t="s">
        <v>1112</v>
      </c>
      <c r="Q12" s="228" t="s">
        <v>232</v>
      </c>
      <c r="R12" s="228" t="s">
        <v>1077</v>
      </c>
      <c r="S12" s="228" t="s">
        <v>1098</v>
      </c>
      <c r="T12" s="230" t="str">
        <f>VLOOKUP(Q12,'Lịch kiểm kê 2025'!E:E,1,0)</f>
        <v>KFM_HCM_GVA - 15 Nguyên Hồng - MINI</v>
      </c>
    </row>
    <row r="13">
      <c r="A13" s="226" t="str">
        <f t="shared" si="2"/>
        <v>MZK</v>
      </c>
      <c r="B13" s="2" t="s">
        <v>1099</v>
      </c>
      <c r="C13" s="2" t="s">
        <v>403</v>
      </c>
      <c r="G13" s="237" t="s">
        <v>902</v>
      </c>
      <c r="H13" s="238" t="s">
        <v>350</v>
      </c>
      <c r="I13" s="239" t="s">
        <v>1092</v>
      </c>
      <c r="K13" s="240" t="s">
        <v>1113</v>
      </c>
      <c r="L13" s="241" t="s">
        <v>1114</v>
      </c>
      <c r="M13" s="242" t="s">
        <v>856</v>
      </c>
      <c r="O13" s="226">
        <f t="shared" si="1"/>
        <v>12</v>
      </c>
      <c r="P13" s="231" t="s">
        <v>1115</v>
      </c>
      <c r="Q13" s="228" t="s">
        <v>324</v>
      </c>
      <c r="R13" s="228" t="s">
        <v>1102</v>
      </c>
      <c r="S13" s="228" t="s">
        <v>1095</v>
      </c>
      <c r="T13" s="230" t="str">
        <f>VLOOKUP(Q13,'Lịch kiểm kê 2025'!E:E,1,0)</f>
        <v>KFM_HCM_Q04 - 98 Khánh Hội - MINI</v>
      </c>
    </row>
    <row r="14">
      <c r="A14" s="226" t="str">
        <f t="shared" si="2"/>
        <v>LPM</v>
      </c>
      <c r="B14" s="2" t="s">
        <v>1089</v>
      </c>
      <c r="C14" s="2" t="s">
        <v>404</v>
      </c>
      <c r="G14" s="237" t="s">
        <v>908</v>
      </c>
      <c r="H14" s="238" t="s">
        <v>48</v>
      </c>
      <c r="I14" s="239" t="s">
        <v>1092</v>
      </c>
      <c r="K14" s="240" t="s">
        <v>1116</v>
      </c>
      <c r="L14" s="241" t="s">
        <v>1117</v>
      </c>
      <c r="M14" s="242" t="s">
        <v>792</v>
      </c>
      <c r="O14" s="226">
        <f t="shared" si="1"/>
        <v>13</v>
      </c>
      <c r="P14" s="229">
        <v>44689.0</v>
      </c>
      <c r="Q14" s="228" t="s">
        <v>270</v>
      </c>
      <c r="R14" s="228" t="s">
        <v>1080</v>
      </c>
      <c r="S14" s="228" t="s">
        <v>1118</v>
      </c>
      <c r="T14" s="230" t="str">
        <f>VLOOKUP(Q14,'Lịch kiểm kê 2025'!E:E,1,0)</f>
        <v>KFM_HCM_TPH - 85 Cây Keo - MINI</v>
      </c>
    </row>
    <row r="15">
      <c r="A15" s="226" t="str">
        <f t="shared" si="2"/>
        <v>LTC</v>
      </c>
      <c r="B15" s="54" t="s">
        <v>1089</v>
      </c>
      <c r="C15" s="54" t="s">
        <v>350</v>
      </c>
      <c r="G15" s="237" t="s">
        <v>894</v>
      </c>
      <c r="H15" s="238" t="s">
        <v>404</v>
      </c>
      <c r="I15" s="239" t="s">
        <v>1092</v>
      </c>
      <c r="K15" s="240" t="s">
        <v>1119</v>
      </c>
      <c r="L15" s="241" t="s">
        <v>1120</v>
      </c>
      <c r="M15" s="242" t="s">
        <v>1121</v>
      </c>
      <c r="O15" s="226">
        <f t="shared" si="1"/>
        <v>14</v>
      </c>
      <c r="P15" s="229">
        <v>44720.0</v>
      </c>
      <c r="Q15" s="228" t="s">
        <v>223</v>
      </c>
      <c r="R15" s="228" t="s">
        <v>1077</v>
      </c>
      <c r="S15" s="228" t="s">
        <v>1122</v>
      </c>
      <c r="T15" s="230" t="str">
        <f>VLOOKUP(Q15,'Lịch kiểm kê 2025'!E:E,1,0)</f>
        <v>KFM_HCM_Q09 - 367 Nguyễn Văn Tăng - MINI</v>
      </c>
    </row>
    <row r="16">
      <c r="A16" s="226" t="str">
        <f t="shared" si="2"/>
        <v>DS10</v>
      </c>
      <c r="B16" s="2" t="s">
        <v>1089</v>
      </c>
      <c r="C16" s="2" t="s">
        <v>276</v>
      </c>
      <c r="G16" s="237" t="s">
        <v>909</v>
      </c>
      <c r="H16" s="238" t="s">
        <v>155</v>
      </c>
      <c r="I16" s="239" t="s">
        <v>1092</v>
      </c>
      <c r="K16" s="240" t="s">
        <v>1123</v>
      </c>
      <c r="L16" s="241" t="s">
        <v>1124</v>
      </c>
      <c r="M16" s="242" t="s">
        <v>762</v>
      </c>
      <c r="O16" s="226">
        <f t="shared" si="1"/>
        <v>15</v>
      </c>
      <c r="P16" s="231" t="s">
        <v>1125</v>
      </c>
      <c r="Q16" s="228" t="s">
        <v>163</v>
      </c>
      <c r="R16" s="228" t="s">
        <v>1080</v>
      </c>
      <c r="S16" s="228" t="s">
        <v>1098</v>
      </c>
      <c r="T16" s="230" t="str">
        <f>VLOOKUP(Q16,'Lịch kiểm kê 2025'!E:E,1,0)</f>
        <v>KFM_HCM_BTH - 86B Vũ Tùng - MINI</v>
      </c>
    </row>
    <row r="17">
      <c r="A17" s="226" t="str">
        <f t="shared" si="2"/>
        <v>NDT</v>
      </c>
      <c r="B17" s="2" t="s">
        <v>1104</v>
      </c>
      <c r="C17" s="2" t="s">
        <v>394</v>
      </c>
      <c r="G17" s="237" t="s">
        <v>898</v>
      </c>
      <c r="H17" s="238" t="s">
        <v>340</v>
      </c>
      <c r="I17" s="239" t="s">
        <v>1096</v>
      </c>
      <c r="K17" s="240" t="s">
        <v>1126</v>
      </c>
      <c r="L17" s="241" t="s">
        <v>1127</v>
      </c>
      <c r="M17" s="242" t="s">
        <v>766</v>
      </c>
      <c r="O17" s="226">
        <f t="shared" si="1"/>
        <v>16</v>
      </c>
      <c r="P17" s="231" t="s">
        <v>1128</v>
      </c>
      <c r="Q17" s="228" t="s">
        <v>59</v>
      </c>
      <c r="R17" s="228" t="s">
        <v>1077</v>
      </c>
      <c r="S17" s="228" t="s">
        <v>1129</v>
      </c>
      <c r="T17" s="230" t="str">
        <f>VLOOKUP(Q17,'Lịch kiểm kê 2025'!E:E,1,0)</f>
        <v>KFM_HCM_GVA - 410 Phan Huy Ích - MART</v>
      </c>
    </row>
    <row r="18">
      <c r="A18" s="226" t="str">
        <f t="shared" si="2"/>
        <v>IAP</v>
      </c>
      <c r="B18" s="2" t="s">
        <v>1104</v>
      </c>
      <c r="C18" s="2" t="s">
        <v>399</v>
      </c>
      <c r="G18" s="237" t="s">
        <v>887</v>
      </c>
      <c r="H18" s="238" t="s">
        <v>326</v>
      </c>
      <c r="I18" s="239" t="s">
        <v>1096</v>
      </c>
      <c r="K18" s="240" t="s">
        <v>1130</v>
      </c>
      <c r="L18" s="241" t="s">
        <v>1131</v>
      </c>
      <c r="M18" s="242" t="s">
        <v>770</v>
      </c>
      <c r="O18" s="226">
        <f t="shared" si="1"/>
        <v>17</v>
      </c>
      <c r="P18" s="231" t="s">
        <v>1132</v>
      </c>
      <c r="Q18" s="228" t="s">
        <v>208</v>
      </c>
      <c r="R18" s="228" t="s">
        <v>1077</v>
      </c>
      <c r="S18" s="228" t="s">
        <v>1133</v>
      </c>
      <c r="T18" s="230" t="str">
        <f>VLOOKUP(Q18,'Lịch kiểm kê 2025'!E:E,1,0)</f>
        <v>KFM_HCM_BTA - 46 Nguyễn Thị Tú - MINI</v>
      </c>
    </row>
    <row r="19">
      <c r="A19" s="226" t="str">
        <f t="shared" si="2"/>
        <v>HTN</v>
      </c>
      <c r="B19" s="2" t="s">
        <v>1104</v>
      </c>
      <c r="C19" s="58" t="s">
        <v>136</v>
      </c>
      <c r="G19" s="237" t="s">
        <v>1134</v>
      </c>
      <c r="H19" s="238" t="s">
        <v>276</v>
      </c>
      <c r="I19" s="239" t="s">
        <v>1096</v>
      </c>
      <c r="K19" s="240" t="s">
        <v>1135</v>
      </c>
      <c r="L19" s="241" t="s">
        <v>1136</v>
      </c>
      <c r="M19" s="242" t="s">
        <v>774</v>
      </c>
      <c r="O19" s="226">
        <f t="shared" si="1"/>
        <v>18</v>
      </c>
      <c r="P19" s="231" t="s">
        <v>1137</v>
      </c>
      <c r="Q19" s="228" t="s">
        <v>199</v>
      </c>
      <c r="R19" s="228" t="s">
        <v>1080</v>
      </c>
      <c r="S19" s="228" t="s">
        <v>1133</v>
      </c>
      <c r="T19" s="230" t="str">
        <f>VLOOKUP(Q19,'Lịch kiểm kê 2025'!E:E,1,0)</f>
        <v>KFM_HCM_TPH - 48 CN1 - MINI</v>
      </c>
    </row>
    <row r="20">
      <c r="A20" s="226" t="str">
        <f t="shared" si="2"/>
        <v>NTD</v>
      </c>
      <c r="B20" s="2" t="s">
        <v>1104</v>
      </c>
      <c r="C20" s="2" t="s">
        <v>138</v>
      </c>
      <c r="G20" s="237" t="s">
        <v>1138</v>
      </c>
      <c r="H20" s="238" t="s">
        <v>1139</v>
      </c>
      <c r="I20" s="239" t="s">
        <v>1096</v>
      </c>
      <c r="K20" s="240" t="s">
        <v>1140</v>
      </c>
      <c r="L20" s="241" t="s">
        <v>1141</v>
      </c>
      <c r="M20" s="242" t="s">
        <v>779</v>
      </c>
      <c r="O20" s="226">
        <f t="shared" si="1"/>
        <v>19</v>
      </c>
      <c r="P20" s="231" t="s">
        <v>1142</v>
      </c>
      <c r="Q20" s="228" t="s">
        <v>221</v>
      </c>
      <c r="R20" s="228" t="s">
        <v>1080</v>
      </c>
      <c r="S20" s="228" t="s">
        <v>1143</v>
      </c>
      <c r="T20" s="230" t="str">
        <f>VLOOKUP(Q20,'Lịch kiểm kê 2025'!E:E,1,0)</f>
        <v>KFM_HCM_Q07 - 233 Phạm Hữu Lầu - MINI</v>
      </c>
    </row>
    <row r="21">
      <c r="A21" s="226" t="str">
        <f t="shared" si="2"/>
        <v>NTO</v>
      </c>
      <c r="B21" s="30" t="s">
        <v>1104</v>
      </c>
      <c r="C21" s="30" t="s">
        <v>140</v>
      </c>
      <c r="G21" s="237" t="s">
        <v>880</v>
      </c>
      <c r="H21" s="238" t="s">
        <v>324</v>
      </c>
      <c r="I21" s="239" t="s">
        <v>1096</v>
      </c>
      <c r="K21" s="240" t="s">
        <v>1144</v>
      </c>
      <c r="L21" s="241" t="s">
        <v>1145</v>
      </c>
      <c r="M21" s="242" t="s">
        <v>760</v>
      </c>
      <c r="O21" s="226">
        <f t="shared" si="1"/>
        <v>20</v>
      </c>
      <c r="P21" s="231" t="s">
        <v>1146</v>
      </c>
      <c r="Q21" s="228" t="s">
        <v>45</v>
      </c>
      <c r="R21" s="228" t="s">
        <v>1077</v>
      </c>
      <c r="S21" s="228" t="s">
        <v>1143</v>
      </c>
      <c r="T21" s="230" t="str">
        <f>VLOOKUP(Q21,'Lịch kiểm kê 2025'!E:E,1,0)</f>
        <v>KFM_HCM_NBE - 166E Lê Văn Lương - MART</v>
      </c>
    </row>
    <row r="22">
      <c r="A22" s="226" t="str">
        <f t="shared" si="2"/>
        <v>HNG</v>
      </c>
      <c r="B22" s="30" t="s">
        <v>1096</v>
      </c>
      <c r="C22" s="75" t="s">
        <v>144</v>
      </c>
      <c r="G22" s="237" t="s">
        <v>868</v>
      </c>
      <c r="H22" s="238" t="s">
        <v>45</v>
      </c>
      <c r="I22" s="239" t="s">
        <v>1099</v>
      </c>
      <c r="K22" s="240" t="s">
        <v>1147</v>
      </c>
      <c r="L22" s="241" t="s">
        <v>1148</v>
      </c>
      <c r="M22" s="242" t="s">
        <v>1149</v>
      </c>
      <c r="O22" s="226">
        <f t="shared" si="1"/>
        <v>21</v>
      </c>
      <c r="P22" s="229">
        <v>45261.0</v>
      </c>
      <c r="Q22" s="228" t="s">
        <v>326</v>
      </c>
      <c r="R22" s="228" t="s">
        <v>1080</v>
      </c>
      <c r="S22" s="228" t="s">
        <v>1095</v>
      </c>
      <c r="T22" s="230" t="str">
        <f>VLOOKUP(Q22,'Lịch kiểm kê 2025'!E:E,1,0)</f>
        <v>KFM_HCM_Q07 - 09 Lâm Văn Bền - MINI</v>
      </c>
    </row>
    <row r="23">
      <c r="A23" s="226" t="str">
        <f t="shared" si="2"/>
        <v>CLG</v>
      </c>
      <c r="B23" s="30" t="s">
        <v>1096</v>
      </c>
      <c r="C23" s="75" t="s">
        <v>147</v>
      </c>
      <c r="G23" s="237" t="s">
        <v>891</v>
      </c>
      <c r="H23" s="238" t="s">
        <v>221</v>
      </c>
      <c r="I23" s="239" t="s">
        <v>1099</v>
      </c>
      <c r="K23" s="240" t="s">
        <v>1150</v>
      </c>
      <c r="L23" s="241" t="s">
        <v>1151</v>
      </c>
      <c r="M23" s="242" t="s">
        <v>832</v>
      </c>
      <c r="O23" s="226">
        <f t="shared" si="1"/>
        <v>22</v>
      </c>
      <c r="P23" s="231" t="s">
        <v>1152</v>
      </c>
      <c r="Q23" s="228" t="s">
        <v>328</v>
      </c>
      <c r="R23" s="228" t="s">
        <v>1080</v>
      </c>
      <c r="S23" s="228" t="s">
        <v>1103</v>
      </c>
      <c r="T23" s="230" t="str">
        <f>VLOOKUP(Q23,'Lịch kiểm kê 2025'!E:E,1,0)</f>
        <v>KFM_HCM_GVA - 372 Dương Quảng Hàm - MINI</v>
      </c>
    </row>
    <row r="24">
      <c r="A24" s="226" t="str">
        <f t="shared" si="2"/>
        <v>ACU</v>
      </c>
      <c r="B24" s="30" t="s">
        <v>1104</v>
      </c>
      <c r="C24" s="30" t="s">
        <v>149</v>
      </c>
      <c r="G24" s="237" t="s">
        <v>885</v>
      </c>
      <c r="H24" s="238" t="s">
        <v>130</v>
      </c>
      <c r="I24" s="239" t="s">
        <v>1099</v>
      </c>
      <c r="K24" s="240" t="s">
        <v>1153</v>
      </c>
      <c r="L24" s="241" t="s">
        <v>1154</v>
      </c>
      <c r="M24" s="242" t="s">
        <v>836</v>
      </c>
      <c r="O24" s="226">
        <f t="shared" si="1"/>
        <v>23</v>
      </c>
      <c r="P24" s="231" t="s">
        <v>1155</v>
      </c>
      <c r="Q24" s="228" t="s">
        <v>130</v>
      </c>
      <c r="R24" s="228" t="s">
        <v>1102</v>
      </c>
      <c r="S24" s="228" t="s">
        <v>1143</v>
      </c>
      <c r="T24" s="230" t="str">
        <f>VLOOKUP(Q24,'Lịch kiểm kê 2025'!E:E,1,0)</f>
        <v>KFM_HCM_Q07 - 0105 B4 Era Town - MART</v>
      </c>
    </row>
    <row r="25">
      <c r="A25" s="226" t="str">
        <f t="shared" si="2"/>
        <v>BVB</v>
      </c>
      <c r="B25" s="30" t="s">
        <v>1089</v>
      </c>
      <c r="C25" s="30" t="s">
        <v>262</v>
      </c>
      <c r="G25" s="237" t="s">
        <v>873</v>
      </c>
      <c r="H25" s="238" t="s">
        <v>376</v>
      </c>
      <c r="I25" s="239" t="s">
        <v>1099</v>
      </c>
      <c r="K25" s="240" t="s">
        <v>1156</v>
      </c>
      <c r="L25" s="241" t="s">
        <v>1157</v>
      </c>
      <c r="M25" s="242" t="s">
        <v>840</v>
      </c>
      <c r="O25" s="226">
        <f t="shared" si="1"/>
        <v>24</v>
      </c>
      <c r="P25" s="231" t="s">
        <v>1158</v>
      </c>
      <c r="Q25" s="228" t="s">
        <v>394</v>
      </c>
      <c r="R25" s="228" t="s">
        <v>1077</v>
      </c>
      <c r="S25" s="228" t="s">
        <v>1159</v>
      </c>
      <c r="T25" s="230" t="str">
        <f>VLOOKUP(Q25,'Lịch kiểm kê 2025'!E:E,1,0)</f>
        <v>KFM_HCM_TDU - 305 Nguyễn Duy Trinh - MART</v>
      </c>
    </row>
    <row r="26">
      <c r="A26" s="226" t="str">
        <f t="shared" si="2"/>
        <v>TSO</v>
      </c>
      <c r="B26" s="2" t="s">
        <v>1104</v>
      </c>
      <c r="C26" s="2" t="s">
        <v>152</v>
      </c>
      <c r="G26" s="237" t="s">
        <v>984</v>
      </c>
      <c r="H26" s="238" t="s">
        <v>319</v>
      </c>
      <c r="I26" s="239" t="s">
        <v>1104</v>
      </c>
      <c r="O26" s="226">
        <f t="shared" si="1"/>
        <v>25</v>
      </c>
      <c r="P26" s="231" t="s">
        <v>1160</v>
      </c>
      <c r="Q26" s="228" t="s">
        <v>138</v>
      </c>
      <c r="R26" s="228" t="s">
        <v>1077</v>
      </c>
      <c r="S26" s="228" t="s">
        <v>1161</v>
      </c>
      <c r="T26" s="230" t="str">
        <f>VLOOKUP(Q26,'Lịch kiểm kê 2025'!E:E,1,0)</f>
        <v>KFM_HCM_TDU - 160A Nguyễn Thị Định - MINI</v>
      </c>
    </row>
    <row r="27">
      <c r="A27" s="226" t="str">
        <f t="shared" si="2"/>
        <v>Q7R</v>
      </c>
      <c r="B27" s="2" t="s">
        <v>1089</v>
      </c>
      <c r="C27" s="58" t="s">
        <v>155</v>
      </c>
      <c r="G27" s="237" t="s">
        <v>986</v>
      </c>
      <c r="H27" s="238" t="s">
        <v>167</v>
      </c>
      <c r="I27" s="239" t="s">
        <v>1104</v>
      </c>
      <c r="O27" s="226">
        <f t="shared" si="1"/>
        <v>26</v>
      </c>
      <c r="P27" s="231" t="s">
        <v>1162</v>
      </c>
      <c r="Q27" s="228" t="s">
        <v>177</v>
      </c>
      <c r="R27" s="228" t="s">
        <v>1077</v>
      </c>
      <c r="S27" s="228" t="s">
        <v>1103</v>
      </c>
      <c r="T27" s="230" t="str">
        <f>VLOOKUP(Q27,'Lịch kiểm kê 2025'!E:E,1,0)</f>
        <v>KFM_HCM_GVA - 195 Thống Nhất - MART</v>
      </c>
    </row>
    <row r="28">
      <c r="A28" s="226" t="str">
        <f t="shared" si="2"/>
        <v>SFR</v>
      </c>
      <c r="B28" s="2" t="s">
        <v>1092</v>
      </c>
      <c r="C28" s="2" t="s">
        <v>157</v>
      </c>
      <c r="G28" s="237" t="s">
        <v>985</v>
      </c>
      <c r="H28" s="238" t="s">
        <v>274</v>
      </c>
      <c r="I28" s="239" t="s">
        <v>1104</v>
      </c>
      <c r="O28" s="226">
        <f t="shared" si="1"/>
        <v>27</v>
      </c>
      <c r="P28" s="229">
        <v>44932.0</v>
      </c>
      <c r="Q28" s="228" t="s">
        <v>64</v>
      </c>
      <c r="R28" s="228" t="s">
        <v>1077</v>
      </c>
      <c r="S28" s="228" t="s">
        <v>1129</v>
      </c>
      <c r="T28" s="230" t="str">
        <f>VLOOKUP(Q28,'Lịch kiểm kê 2025'!E:E,1,0)</f>
        <v>KFM_HCM_Q12 - 678 Nguyễn Văn Quá - MART</v>
      </c>
    </row>
    <row r="29">
      <c r="A29" s="226" t="str">
        <f t="shared" si="2"/>
        <v>QHG</v>
      </c>
      <c r="B29" s="2" t="s">
        <v>1104</v>
      </c>
      <c r="C29" s="2" t="s">
        <v>159</v>
      </c>
      <c r="G29" s="237" t="s">
        <v>988</v>
      </c>
      <c r="H29" s="238" t="s">
        <v>327</v>
      </c>
      <c r="I29" s="239" t="s">
        <v>1104</v>
      </c>
      <c r="O29" s="226">
        <f t="shared" si="1"/>
        <v>28</v>
      </c>
      <c r="P29" s="229">
        <v>45114.0</v>
      </c>
      <c r="Q29" s="228" t="s">
        <v>1163</v>
      </c>
      <c r="R29" s="228" t="s">
        <v>1077</v>
      </c>
      <c r="S29" s="243"/>
      <c r="T29" s="230" t="str">
        <f>VLOOKUP(Q29,'Lịch kiểm kê 2025'!E:E,1,0)</f>
        <v>KFM_HCM_BCH - 511 Quốc lộ 50 - MART</v>
      </c>
    </row>
    <row r="30">
      <c r="A30" s="226" t="str">
        <f t="shared" si="2"/>
        <v>DXH</v>
      </c>
      <c r="B30" s="2" t="s">
        <v>1092</v>
      </c>
      <c r="C30" s="2" t="s">
        <v>161</v>
      </c>
      <c r="G30" s="237" t="s">
        <v>983</v>
      </c>
      <c r="H30" s="238" t="s">
        <v>214</v>
      </c>
      <c r="I30" s="239" t="s">
        <v>1104</v>
      </c>
      <c r="O30" s="226">
        <f t="shared" si="1"/>
        <v>29</v>
      </c>
      <c r="P30" s="231" t="s">
        <v>1164</v>
      </c>
      <c r="Q30" s="228" t="s">
        <v>161</v>
      </c>
      <c r="R30" s="228" t="s">
        <v>1077</v>
      </c>
      <c r="S30" s="228" t="s">
        <v>1165</v>
      </c>
      <c r="T30" s="230" t="str">
        <f>VLOOKUP(Q30,'Lịch kiểm kê 2025'!E:E,1,0)</f>
        <v>KFM_HCM_TDU - 539 Đỗ Xuân Hợp - MINI</v>
      </c>
    </row>
    <row r="31">
      <c r="A31" s="226" t="str">
        <f t="shared" si="2"/>
        <v>VTG</v>
      </c>
      <c r="B31" s="2" t="s">
        <v>1104</v>
      </c>
      <c r="C31" s="2" t="s">
        <v>163</v>
      </c>
      <c r="G31" s="237" t="s">
        <v>919</v>
      </c>
      <c r="H31" s="238" t="s">
        <v>223</v>
      </c>
      <c r="I31" s="239" t="s">
        <v>1104</v>
      </c>
      <c r="O31" s="226">
        <f t="shared" si="1"/>
        <v>30</v>
      </c>
      <c r="P31" s="231" t="s">
        <v>1166</v>
      </c>
      <c r="Q31" s="228" t="s">
        <v>237</v>
      </c>
      <c r="R31" s="228" t="s">
        <v>1080</v>
      </c>
      <c r="S31" s="228" t="s">
        <v>1167</v>
      </c>
      <c r="T31" s="230" t="str">
        <f>VLOOKUP(Q31,'Lịch kiểm kê 2025'!E:E,1,0)</f>
        <v>KFM_HCM_BTH - 107 Bình Quới - MINI</v>
      </c>
    </row>
    <row r="32">
      <c r="A32" s="226" t="str">
        <f t="shared" si="2"/>
        <v>VH3</v>
      </c>
      <c r="B32" s="30" t="s">
        <v>1092</v>
      </c>
      <c r="C32" s="30" t="s">
        <v>167</v>
      </c>
      <c r="G32" s="237" t="s">
        <v>993</v>
      </c>
      <c r="H32" s="238" t="s">
        <v>252</v>
      </c>
      <c r="I32" s="239" t="s">
        <v>1107</v>
      </c>
      <c r="O32" s="226">
        <f t="shared" si="1"/>
        <v>31</v>
      </c>
      <c r="P32" s="229">
        <v>45238.0</v>
      </c>
      <c r="Q32" s="228" t="s">
        <v>197</v>
      </c>
      <c r="R32" s="228" t="s">
        <v>1080</v>
      </c>
      <c r="S32" s="228" t="s">
        <v>1167</v>
      </c>
      <c r="T32" s="230" t="str">
        <f>VLOOKUP(Q32,'Lịch kiểm kê 2025'!E:E,1,0)</f>
        <v>KFM_HCM_TDU - 63 Đường Số 3 - MINI</v>
      </c>
    </row>
    <row r="33">
      <c r="A33" s="226" t="str">
        <f t="shared" si="2"/>
        <v>CHR</v>
      </c>
      <c r="B33" s="30" t="s">
        <v>1092</v>
      </c>
      <c r="C33" s="30" t="s">
        <v>169</v>
      </c>
      <c r="G33" s="237" t="s">
        <v>965</v>
      </c>
      <c r="H33" s="238" t="s">
        <v>161</v>
      </c>
      <c r="I33" s="239" t="s">
        <v>1107</v>
      </c>
      <c r="O33" s="226">
        <f t="shared" si="1"/>
        <v>32</v>
      </c>
      <c r="P33" s="229">
        <v>45268.0</v>
      </c>
      <c r="Q33" s="228" t="s">
        <v>319</v>
      </c>
      <c r="R33" s="228" t="s">
        <v>1102</v>
      </c>
      <c r="S33" s="228" t="s">
        <v>1122</v>
      </c>
      <c r="T33" s="230" t="str">
        <f>VLOOKUP(Q33,'Lịch kiểm kê 2025'!E:E,1,0)</f>
        <v>KFM_HCM_TDU - S06.06 Vinhomes Grand Park - MINI</v>
      </c>
    </row>
    <row r="34">
      <c r="A34" s="226" t="str">
        <f t="shared" si="2"/>
        <v>HHG</v>
      </c>
      <c r="B34" s="30" t="s">
        <v>1104</v>
      </c>
      <c r="C34" s="75" t="s">
        <v>173</v>
      </c>
      <c r="G34" s="237" t="s">
        <v>739</v>
      </c>
      <c r="H34" s="244" t="s">
        <v>1168</v>
      </c>
      <c r="I34" s="239" t="s">
        <v>1107</v>
      </c>
      <c r="O34" s="226">
        <f t="shared" si="1"/>
        <v>33</v>
      </c>
      <c r="P34" s="231" t="s">
        <v>1169</v>
      </c>
      <c r="Q34" s="228" t="s">
        <v>343</v>
      </c>
      <c r="R34" s="228" t="s">
        <v>1077</v>
      </c>
      <c r="S34" s="228" t="s">
        <v>1133</v>
      </c>
      <c r="T34" s="230" t="str">
        <f>VLOOKUP(Q34,'Lịch kiểm kê 2025'!E:E,1,0)</f>
        <v>KFM_HCM_TPH - 116 Gò Dầu - MINI</v>
      </c>
    </row>
    <row r="35">
      <c r="A35" s="226" t="str">
        <f t="shared" si="2"/>
        <v>TNT</v>
      </c>
      <c r="B35" s="30" t="s">
        <v>1096</v>
      </c>
      <c r="C35" s="30" t="s">
        <v>177</v>
      </c>
      <c r="G35" s="237" t="s">
        <v>980</v>
      </c>
      <c r="H35" s="238" t="s">
        <v>157</v>
      </c>
      <c r="I35" s="239" t="s">
        <v>1110</v>
      </c>
      <c r="O35" s="226">
        <f t="shared" si="1"/>
        <v>34</v>
      </c>
      <c r="P35" s="229">
        <v>45147.0</v>
      </c>
      <c r="Q35" s="228" t="s">
        <v>332</v>
      </c>
      <c r="R35" s="228" t="s">
        <v>1077</v>
      </c>
      <c r="S35" s="228" t="s">
        <v>1118</v>
      </c>
      <c r="T35" s="230" t="str">
        <f>VLOOKUP(Q35,'Lịch kiểm kê 2025'!E:E,1,0)</f>
        <v>KFM_HCM_Q06 - 229A Tân Hòa Đông - MINI</v>
      </c>
    </row>
    <row r="36">
      <c r="A36" s="226" t="str">
        <f t="shared" si="2"/>
        <v>AV4</v>
      </c>
      <c r="B36" s="30" t="s">
        <v>1104</v>
      </c>
      <c r="C36" s="30" t="s">
        <v>178</v>
      </c>
      <c r="G36" s="237" t="s">
        <v>973</v>
      </c>
      <c r="H36" s="238" t="s">
        <v>51</v>
      </c>
      <c r="I36" s="239" t="s">
        <v>1110</v>
      </c>
      <c r="O36" s="226">
        <f t="shared" si="1"/>
        <v>35</v>
      </c>
      <c r="P36" s="229">
        <v>45178.0</v>
      </c>
      <c r="Q36" s="228" t="s">
        <v>78</v>
      </c>
      <c r="R36" s="228" t="s">
        <v>1102</v>
      </c>
      <c r="S36" s="228" t="s">
        <v>1078</v>
      </c>
      <c r="T36" s="230" t="str">
        <f>VLOOKUP(Q36,'Lịch kiểm kê 2025'!E:E,1,0)</f>
        <v>KFM_HCM_Q07 - SH16 Eco Green - MINI</v>
      </c>
    </row>
    <row r="37">
      <c r="A37" s="226" t="str">
        <f t="shared" si="2"/>
        <v>PHI</v>
      </c>
      <c r="B37" s="2" t="s">
        <v>1096</v>
      </c>
      <c r="C37" s="2" t="s">
        <v>59</v>
      </c>
      <c r="G37" s="237" t="s">
        <v>950</v>
      </c>
      <c r="H37" s="238" t="s">
        <v>272</v>
      </c>
      <c r="I37" s="239" t="s">
        <v>1110</v>
      </c>
      <c r="O37" s="226">
        <f t="shared" si="1"/>
        <v>36</v>
      </c>
      <c r="P37" s="231" t="s">
        <v>1170</v>
      </c>
      <c r="Q37" s="228" t="s">
        <v>184</v>
      </c>
      <c r="R37" s="228" t="s">
        <v>1077</v>
      </c>
      <c r="S37" s="228" t="s">
        <v>1167</v>
      </c>
      <c r="T37" s="230" t="str">
        <f>VLOOKUP(Q37,'Lịch kiểm kê 2025'!E:E,1,0)</f>
        <v>KFM_HCM_TDU - 46 Trần Não - MINI</v>
      </c>
    </row>
    <row r="38">
      <c r="A38" s="226" t="str">
        <f t="shared" si="2"/>
        <v>EH3</v>
      </c>
      <c r="B38" s="2" t="s">
        <v>1099</v>
      </c>
      <c r="C38" s="58" t="s">
        <v>181</v>
      </c>
      <c r="G38" s="237" t="s">
        <v>979</v>
      </c>
      <c r="H38" s="244" t="s">
        <v>229</v>
      </c>
      <c r="I38" s="239" t="s">
        <v>1110</v>
      </c>
      <c r="O38" s="226">
        <f t="shared" si="1"/>
        <v>37</v>
      </c>
      <c r="P38" s="229">
        <v>45117.0</v>
      </c>
      <c r="Q38" s="228" t="s">
        <v>258</v>
      </c>
      <c r="R38" s="228" t="s">
        <v>1102</v>
      </c>
      <c r="S38" s="228" t="s">
        <v>1118</v>
      </c>
      <c r="T38" s="230" t="str">
        <f>VLOOKUP(Q38,'Lịch kiểm kê 2025'!E:E,1,0)</f>
        <v>KFM_HCM_TPH - RS4 Richstar - MINI</v>
      </c>
    </row>
    <row r="39">
      <c r="A39" s="226" t="str">
        <f t="shared" si="2"/>
        <v>PGS</v>
      </c>
      <c r="B39" s="2" t="s">
        <v>1099</v>
      </c>
      <c r="C39" s="2" t="s">
        <v>368</v>
      </c>
      <c r="G39" s="237" t="s">
        <v>972</v>
      </c>
      <c r="H39" s="238" t="s">
        <v>201</v>
      </c>
      <c r="I39" s="239" t="s">
        <v>1110</v>
      </c>
      <c r="O39" s="226">
        <f t="shared" si="1"/>
        <v>38</v>
      </c>
      <c r="P39" s="231" t="s">
        <v>1171</v>
      </c>
      <c r="Q39" s="228" t="s">
        <v>327</v>
      </c>
      <c r="R39" s="228" t="s">
        <v>1102</v>
      </c>
      <c r="S39" s="228" t="s">
        <v>1122</v>
      </c>
      <c r="T39" s="230" t="str">
        <f>VLOOKUP(Q39,'Lịch kiểm kê 2025'!E:E,1,0)</f>
        <v>KFM_HCM_TDU - S10.02 Vinhomes Grand Park - MINI</v>
      </c>
    </row>
    <row r="40">
      <c r="A40" s="226" t="str">
        <f t="shared" si="2"/>
        <v>NVD</v>
      </c>
      <c r="B40" s="2" t="s">
        <v>1104</v>
      </c>
      <c r="C40" s="2" t="s">
        <v>322</v>
      </c>
      <c r="G40" s="237" t="s">
        <v>851</v>
      </c>
      <c r="H40" s="238" t="s">
        <v>194</v>
      </c>
      <c r="I40" s="239" t="s">
        <v>1113</v>
      </c>
      <c r="O40" s="226">
        <f t="shared" si="1"/>
        <v>39</v>
      </c>
      <c r="P40" s="231" t="s">
        <v>1171</v>
      </c>
      <c r="Q40" s="228" t="s">
        <v>403</v>
      </c>
      <c r="R40" s="228" t="s">
        <v>1102</v>
      </c>
      <c r="S40" s="243"/>
      <c r="T40" s="230" t="str">
        <f>VLOOKUP(Q40,'Lịch kiểm kê 2025'!E:E,1,0)</f>
        <v>KFM_HCM_BCH - TMDV2 Mizuki Park - MINI</v>
      </c>
    </row>
    <row r="41">
      <c r="A41" s="226" t="str">
        <f t="shared" si="2"/>
        <v>KHI</v>
      </c>
      <c r="B41" s="30" t="s">
        <v>1089</v>
      </c>
      <c r="C41" s="30" t="s">
        <v>324</v>
      </c>
      <c r="G41" s="237" t="s">
        <v>848</v>
      </c>
      <c r="H41" s="238" t="s">
        <v>288</v>
      </c>
      <c r="I41" s="239" t="s">
        <v>1113</v>
      </c>
      <c r="O41" s="226">
        <f t="shared" si="1"/>
        <v>40</v>
      </c>
      <c r="P41" s="229">
        <v>44996.0</v>
      </c>
      <c r="Q41" s="228" t="s">
        <v>402</v>
      </c>
      <c r="R41" s="228" t="s">
        <v>1077</v>
      </c>
      <c r="S41" s="228" t="s">
        <v>1118</v>
      </c>
      <c r="T41" s="230" t="str">
        <f>VLOOKUP(Q41,'Lịch kiểm kê 2025'!E:E,1,0)</f>
        <v>KFM_HCM_BTA - 99 Đường Số 7 - MINI</v>
      </c>
    </row>
    <row r="42">
      <c r="A42" s="226" t="str">
        <f t="shared" si="2"/>
        <v>TNO</v>
      </c>
      <c r="B42" s="30" t="s">
        <v>1104</v>
      </c>
      <c r="C42" s="30" t="s">
        <v>184</v>
      </c>
      <c r="G42" s="237" t="s">
        <v>841</v>
      </c>
      <c r="H42" s="238" t="s">
        <v>177</v>
      </c>
      <c r="I42" s="239" t="s">
        <v>1113</v>
      </c>
      <c r="O42" s="226">
        <f t="shared" si="1"/>
        <v>41</v>
      </c>
      <c r="P42" s="229">
        <v>45241.0</v>
      </c>
      <c r="Q42" s="228" t="s">
        <v>187</v>
      </c>
      <c r="R42" s="228" t="s">
        <v>1102</v>
      </c>
      <c r="S42" s="228" t="s">
        <v>1172</v>
      </c>
      <c r="T42" s="230" t="str">
        <f>VLOOKUP(Q42,'Lịch kiểm kê 2025'!E:E,1,0)</f>
        <v>KFM_BDU_DAN - SH01 BCons Garden - MINI</v>
      </c>
    </row>
    <row r="43">
      <c r="A43" s="226" t="str">
        <f t="shared" si="2"/>
        <v>BCG</v>
      </c>
      <c r="B43" s="30" t="s">
        <v>1092</v>
      </c>
      <c r="C43" s="30" t="s">
        <v>187</v>
      </c>
      <c r="G43" s="237" t="s">
        <v>857</v>
      </c>
      <c r="H43" s="238" t="s">
        <v>328</v>
      </c>
      <c r="I43" s="239" t="s">
        <v>1113</v>
      </c>
      <c r="O43" s="226">
        <f t="shared" si="1"/>
        <v>42</v>
      </c>
      <c r="P43" s="231" t="s">
        <v>1173</v>
      </c>
      <c r="Q43" s="228" t="s">
        <v>315</v>
      </c>
      <c r="R43" s="228" t="s">
        <v>1102</v>
      </c>
      <c r="S43" s="228" t="s">
        <v>1082</v>
      </c>
      <c r="T43" s="230" t="str">
        <f>VLOOKUP(Q43,'Lịch kiểm kê 2025'!E:E,1,0)</f>
        <v>KFM_HCM_TBI - Block C Harmona - MINI</v>
      </c>
    </row>
    <row r="44">
      <c r="A44" s="226" t="str">
        <f t="shared" si="2"/>
        <v>CN1</v>
      </c>
      <c r="B44" s="30" t="s">
        <v>1099</v>
      </c>
      <c r="C44" s="30" t="s">
        <v>199</v>
      </c>
      <c r="G44" s="237" t="s">
        <v>854</v>
      </c>
      <c r="H44" s="238" t="s">
        <v>87</v>
      </c>
      <c r="I44" s="239" t="s">
        <v>1113</v>
      </c>
      <c r="O44" s="226">
        <f t="shared" si="1"/>
        <v>43</v>
      </c>
      <c r="P44" s="229">
        <v>45181.0</v>
      </c>
      <c r="Q44" s="228" t="s">
        <v>368</v>
      </c>
      <c r="R44" s="228" t="s">
        <v>1102</v>
      </c>
      <c r="S44" s="243"/>
      <c r="T44" s="230" t="str">
        <f>VLOOKUP(Q44,'Lịch kiểm kê 2025'!E:E,1,0)</f>
        <v>KFM_HCM_Q08 - 01.18 Pegasuite - MINI</v>
      </c>
    </row>
    <row r="45">
      <c r="A45" s="226" t="str">
        <f t="shared" si="2"/>
        <v>NTU</v>
      </c>
      <c r="B45" s="30" t="s">
        <v>1099</v>
      </c>
      <c r="C45" s="30" t="s">
        <v>208</v>
      </c>
      <c r="G45" s="237" t="s">
        <v>937</v>
      </c>
      <c r="H45" s="238" t="s">
        <v>147</v>
      </c>
      <c r="I45" s="239" t="s">
        <v>1113</v>
      </c>
      <c r="O45" s="226">
        <f t="shared" si="1"/>
        <v>44</v>
      </c>
      <c r="P45" s="231" t="s">
        <v>1174</v>
      </c>
      <c r="Q45" s="228" t="s">
        <v>167</v>
      </c>
      <c r="R45" s="228" t="s">
        <v>1102</v>
      </c>
      <c r="S45" s="228" t="s">
        <v>1122</v>
      </c>
      <c r="T45" s="230" t="str">
        <f>VLOOKUP(Q45,'Lịch kiểm kê 2025'!E:E,1,0)</f>
        <v>KFM_HCM_TDU - S1.05 Vinhomes Grand Park - MINI</v>
      </c>
    </row>
    <row r="46">
      <c r="A46" s="226" t="str">
        <f t="shared" si="2"/>
        <v>DS3</v>
      </c>
      <c r="B46" s="30" t="s">
        <v>1104</v>
      </c>
      <c r="C46" s="30" t="s">
        <v>197</v>
      </c>
      <c r="G46" s="237" t="s">
        <v>861</v>
      </c>
      <c r="H46" s="238" t="s">
        <v>59</v>
      </c>
      <c r="I46" s="239" t="s">
        <v>1116</v>
      </c>
      <c r="O46" s="226">
        <f t="shared" si="1"/>
        <v>45</v>
      </c>
      <c r="P46" s="229">
        <v>45444.0</v>
      </c>
      <c r="Q46" s="228" t="s">
        <v>201</v>
      </c>
      <c r="R46" s="228" t="s">
        <v>1102</v>
      </c>
      <c r="S46" s="228" t="s">
        <v>1175</v>
      </c>
      <c r="T46" s="230" t="str">
        <f>VLOOKUP(Q46,'Lịch kiểm kê 2025'!E:E,1,0)</f>
        <v>KFM_HCM_TDU - A0.01 EHomeS Phú Hữu - MINI</v>
      </c>
    </row>
    <row r="47">
      <c r="A47" s="226" t="str">
        <f t="shared" si="2"/>
        <v>VLA</v>
      </c>
      <c r="B47" s="30" t="s">
        <v>1099</v>
      </c>
      <c r="C47" s="30" t="s">
        <v>211</v>
      </c>
      <c r="G47" s="237" t="s">
        <v>925</v>
      </c>
      <c r="H47" s="238" t="s">
        <v>64</v>
      </c>
      <c r="I47" s="239" t="s">
        <v>1116</v>
      </c>
      <c r="O47" s="226">
        <f t="shared" si="1"/>
        <v>46</v>
      </c>
      <c r="P47" s="231" t="s">
        <v>1176</v>
      </c>
      <c r="Q47" s="228" t="s">
        <v>211</v>
      </c>
      <c r="R47" s="228" t="s">
        <v>1080</v>
      </c>
      <c r="S47" s="228" t="s">
        <v>1081</v>
      </c>
      <c r="T47" s="230" t="str">
        <f>VLOOKUP(Q47,'Lịch kiểm kê 2025'!E:E,1,0)</f>
        <v>KFM_HCM_TPH - 128 Vườn Lài - MINI</v>
      </c>
    </row>
    <row r="48">
      <c r="A48" s="226" t="str">
        <f t="shared" si="2"/>
        <v>SCV</v>
      </c>
      <c r="B48" s="2" t="s">
        <v>1089</v>
      </c>
      <c r="C48" s="58" t="s">
        <v>85</v>
      </c>
      <c r="G48" s="237" t="s">
        <v>927</v>
      </c>
      <c r="H48" s="238" t="s">
        <v>144</v>
      </c>
      <c r="I48" s="239" t="s">
        <v>1116</v>
      </c>
      <c r="O48" s="226">
        <f t="shared" si="1"/>
        <v>47</v>
      </c>
      <c r="P48" s="231" t="s">
        <v>1177</v>
      </c>
      <c r="Q48" s="228" t="s">
        <v>241</v>
      </c>
      <c r="R48" s="228" t="s">
        <v>1102</v>
      </c>
      <c r="S48" s="228" t="s">
        <v>1178</v>
      </c>
      <c r="T48" s="230" t="str">
        <f>VLOOKUP(Q48,'Lịch kiểm kê 2025'!E:E,1,0)</f>
        <v>KFM_HCM_BTA - AK4 Akari City - MINI</v>
      </c>
    </row>
    <row r="49">
      <c r="A49" s="226" t="str">
        <f t="shared" si="2"/>
        <v>HNG</v>
      </c>
      <c r="B49" s="91" t="s">
        <v>1099</v>
      </c>
      <c r="C49" s="91" t="s">
        <v>216</v>
      </c>
      <c r="G49" s="237" t="s">
        <v>926</v>
      </c>
      <c r="H49" s="238" t="s">
        <v>358</v>
      </c>
      <c r="I49" s="239" t="s">
        <v>1116</v>
      </c>
      <c r="O49" s="226">
        <f t="shared" si="1"/>
        <v>48</v>
      </c>
      <c r="P49" s="229">
        <v>45353.0</v>
      </c>
      <c r="Q49" s="228" t="s">
        <v>157</v>
      </c>
      <c r="R49" s="228" t="s">
        <v>1102</v>
      </c>
      <c r="S49" s="228" t="s">
        <v>1175</v>
      </c>
      <c r="T49" s="230" t="str">
        <f>VLOOKUP(Q49,'Lịch kiểm kê 2025'!E:E,1,0)</f>
        <v>KFM_HCM_TDU - D1-1.24 SAFIRA Khang Điền - MINI</v>
      </c>
    </row>
    <row r="50">
      <c r="A50" s="226" t="str">
        <f t="shared" si="2"/>
        <v>KDG</v>
      </c>
      <c r="B50" s="52" t="s">
        <v>1104</v>
      </c>
      <c r="C50" s="52" t="s">
        <v>382</v>
      </c>
      <c r="G50" s="237" t="s">
        <v>1179</v>
      </c>
      <c r="H50" s="238" t="s">
        <v>234</v>
      </c>
      <c r="I50" s="239" t="s">
        <v>1116</v>
      </c>
      <c r="O50" s="226">
        <f t="shared" si="1"/>
        <v>49</v>
      </c>
      <c r="P50" s="229">
        <v>45386.0</v>
      </c>
      <c r="Q50" s="228" t="s">
        <v>48</v>
      </c>
      <c r="R50" s="228" t="s">
        <v>1080</v>
      </c>
      <c r="S50" s="228" t="s">
        <v>1088</v>
      </c>
      <c r="T50" s="230" t="str">
        <f>VLOOKUP(Q50,'Lịch kiểm kê 2025'!E:E,1,0)</f>
        <v>KFM_HCM_Q07 - E72 Phú Thuận - MINI</v>
      </c>
    </row>
    <row r="51">
      <c r="A51" s="226" t="str">
        <f t="shared" si="2"/>
        <v>LVY</v>
      </c>
      <c r="B51" s="52" t="s">
        <v>1096</v>
      </c>
      <c r="C51" s="52" t="s">
        <v>300</v>
      </c>
      <c r="G51" s="237" t="s">
        <v>763</v>
      </c>
      <c r="H51" s="238" t="s">
        <v>311</v>
      </c>
      <c r="I51" s="239" t="s">
        <v>1119</v>
      </c>
      <c r="O51" s="226">
        <f t="shared" si="1"/>
        <v>50</v>
      </c>
      <c r="P51" s="229">
        <v>45416.0</v>
      </c>
      <c r="Q51" s="228" t="s">
        <v>350</v>
      </c>
      <c r="R51" s="228" t="s">
        <v>1080</v>
      </c>
      <c r="S51" s="228" t="s">
        <v>1088</v>
      </c>
      <c r="T51" s="230" t="str">
        <f>VLOOKUP(Q51,'Lịch kiểm kê 2025'!E:E,1,0)</f>
        <v>KFM_HCM_Q07 - 97 Lê Thị Chợ - MINI</v>
      </c>
    </row>
    <row r="52">
      <c r="A52" s="226" t="str">
        <f t="shared" si="2"/>
        <v>DMR</v>
      </c>
      <c r="B52" s="52" t="s">
        <v>1096</v>
      </c>
      <c r="C52" s="52" t="s">
        <v>352</v>
      </c>
      <c r="G52" s="237" t="s">
        <v>767</v>
      </c>
      <c r="H52" s="238" t="s">
        <v>295</v>
      </c>
      <c r="I52" s="239" t="s">
        <v>1119</v>
      </c>
      <c r="O52" s="226">
        <f t="shared" si="1"/>
        <v>51</v>
      </c>
      <c r="P52" s="229">
        <v>45447.0</v>
      </c>
      <c r="Q52" s="228" t="s">
        <v>252</v>
      </c>
      <c r="R52" s="228" t="s">
        <v>1102</v>
      </c>
      <c r="S52" s="228" t="s">
        <v>1165</v>
      </c>
      <c r="T52" s="230" t="str">
        <f>VLOOKUP(Q52,'Lịch kiểm kê 2025'!E:E,1,0)</f>
        <v>KFM_HCM_TDU - The Art Gia Hòa - MART</v>
      </c>
    </row>
    <row r="53">
      <c r="A53" s="226" t="str">
        <f t="shared" si="2"/>
        <v>OPS</v>
      </c>
      <c r="B53" s="52" t="s">
        <v>1096</v>
      </c>
      <c r="C53" s="52" t="s">
        <v>190</v>
      </c>
      <c r="G53" s="237" t="s">
        <v>785</v>
      </c>
      <c r="H53" s="238" t="s">
        <v>403</v>
      </c>
      <c r="I53" s="239" t="s">
        <v>1119</v>
      </c>
      <c r="O53" s="226">
        <f t="shared" si="1"/>
        <v>52</v>
      </c>
      <c r="P53" s="231" t="s">
        <v>1180</v>
      </c>
      <c r="Q53" s="228" t="s">
        <v>41</v>
      </c>
      <c r="R53" s="228" t="s">
        <v>1102</v>
      </c>
      <c r="S53" s="228" t="s">
        <v>1159</v>
      </c>
      <c r="T53" s="230" t="str">
        <f>VLOOKUP(Q53,'Lịch kiểm kê 2025'!E:E,1,0)</f>
        <v>KFM_HCM_TDU - TMDV Citihome Cát Lái - MART</v>
      </c>
    </row>
    <row r="54">
      <c r="A54" s="226" t="str">
        <f t="shared" si="2"/>
        <v>LVH</v>
      </c>
      <c r="B54" s="30" t="s">
        <v>1104</v>
      </c>
      <c r="C54" s="30" t="s">
        <v>226</v>
      </c>
      <c r="G54" s="237" t="s">
        <v>775</v>
      </c>
      <c r="H54" s="238" t="s">
        <v>248</v>
      </c>
      <c r="I54" s="239" t="s">
        <v>1119</v>
      </c>
      <c r="O54" s="226">
        <f t="shared" si="1"/>
        <v>53</v>
      </c>
      <c r="P54" s="231" t="s">
        <v>1181</v>
      </c>
      <c r="Q54" s="228" t="s">
        <v>399</v>
      </c>
      <c r="R54" s="228" t="s">
        <v>1102</v>
      </c>
      <c r="S54" s="228" t="s">
        <v>1161</v>
      </c>
      <c r="T54" s="230" t="str">
        <f>VLOOKUP(Q54,'Lịch kiểm kê 2025'!E:E,1,0)</f>
        <v>KFM_HCM_TDU - Block B Imperia An Phú - MART</v>
      </c>
    </row>
    <row r="55">
      <c r="A55" s="226" t="str">
        <f t="shared" si="2"/>
        <v>LVS</v>
      </c>
      <c r="B55" s="30" t="s">
        <v>1096</v>
      </c>
      <c r="C55" s="30" t="s">
        <v>206</v>
      </c>
      <c r="G55" s="237" t="s">
        <v>915</v>
      </c>
      <c r="H55" s="238" t="s">
        <v>368</v>
      </c>
      <c r="I55" s="239" t="s">
        <v>1119</v>
      </c>
      <c r="O55" s="226">
        <f t="shared" si="1"/>
        <v>54</v>
      </c>
      <c r="P55" s="231" t="s">
        <v>1182</v>
      </c>
      <c r="Q55" s="228" t="s">
        <v>159</v>
      </c>
      <c r="R55" s="228" t="s">
        <v>1080</v>
      </c>
      <c r="S55" s="228" t="s">
        <v>1167</v>
      </c>
      <c r="T55" s="230" t="str">
        <f>VLOOKUP(Q55,'Lịch kiểm kê 2025'!E:E,1,0)</f>
        <v>KFM_HCM_TDU - 59 Quốc Hương - MINI</v>
      </c>
    </row>
    <row r="56">
      <c r="A56" s="226" t="str">
        <f t="shared" si="2"/>
        <v>GDU</v>
      </c>
      <c r="B56" s="2" t="s">
        <v>1099</v>
      </c>
      <c r="C56" s="2" t="s">
        <v>343</v>
      </c>
      <c r="G56" s="237" t="s">
        <v>905</v>
      </c>
      <c r="H56" s="238" t="s">
        <v>330</v>
      </c>
      <c r="I56" s="239" t="s">
        <v>1119</v>
      </c>
      <c r="O56" s="226">
        <f t="shared" si="1"/>
        <v>55</v>
      </c>
      <c r="P56" s="231" t="s">
        <v>1183</v>
      </c>
      <c r="Q56" s="228" t="s">
        <v>140</v>
      </c>
      <c r="R56" s="228" t="s">
        <v>1080</v>
      </c>
      <c r="S56" s="228" t="s">
        <v>1167</v>
      </c>
      <c r="T56" s="230" t="str">
        <f>VLOOKUP(Q56,'Lịch kiểm kê 2025'!E:E,1,0)</f>
        <v>KFM_HCM_BTH - 108 Ngô Tất Tố - MINI</v>
      </c>
    </row>
    <row r="57">
      <c r="A57" s="226" t="str">
        <f t="shared" si="2"/>
        <v>HV2</v>
      </c>
      <c r="B57" s="2" t="s">
        <v>1089</v>
      </c>
      <c r="C57" s="2" t="s">
        <v>218</v>
      </c>
      <c r="G57" s="237" t="s">
        <v>808</v>
      </c>
      <c r="H57" s="238" t="s">
        <v>241</v>
      </c>
      <c r="I57" s="239" t="s">
        <v>1123</v>
      </c>
      <c r="O57" s="226">
        <f t="shared" si="1"/>
        <v>56</v>
      </c>
      <c r="P57" s="231" t="s">
        <v>1184</v>
      </c>
      <c r="Q57" s="228" t="s">
        <v>248</v>
      </c>
      <c r="R57" s="228" t="s">
        <v>1102</v>
      </c>
      <c r="S57" s="243"/>
      <c r="T57" s="230" t="str">
        <f>VLOOKUP(Q57,'Lịch kiểm kê 2025'!E:E,1,0)</f>
        <v>KFM_HCM_BCH - A7-8 Valora Mizuki - MINI</v>
      </c>
    </row>
    <row r="58">
      <c r="A58" s="226" t="str">
        <f t="shared" si="2"/>
        <v>AKR</v>
      </c>
      <c r="B58" s="2" t="s">
        <v>1099</v>
      </c>
      <c r="C58" s="2" t="s">
        <v>241</v>
      </c>
      <c r="G58" s="237" t="s">
        <v>927</v>
      </c>
      <c r="H58" s="238" t="s">
        <v>216</v>
      </c>
      <c r="I58" s="239" t="s">
        <v>1123</v>
      </c>
      <c r="O58" s="226">
        <f t="shared" si="1"/>
        <v>57</v>
      </c>
      <c r="P58" s="231" t="s">
        <v>1185</v>
      </c>
      <c r="Q58" s="228" t="s">
        <v>56</v>
      </c>
      <c r="R58" s="228" t="s">
        <v>1080</v>
      </c>
      <c r="S58" s="228" t="s">
        <v>1118</v>
      </c>
      <c r="T58" s="230" t="str">
        <f>VLOOKUP(Q58,'Lịch kiểm kê 2025'!E:E,1,0)</f>
        <v>KFM_HCM_Q06 - 126 Chợ Lớn - MINI</v>
      </c>
    </row>
    <row r="59">
      <c r="A59" s="226" t="str">
        <f t="shared" si="2"/>
        <v>EHS</v>
      </c>
      <c r="B59" s="2" t="s">
        <v>1092</v>
      </c>
      <c r="C59" s="2" t="s">
        <v>201</v>
      </c>
      <c r="G59" s="237" t="s">
        <v>918</v>
      </c>
      <c r="H59" s="238" t="s">
        <v>352</v>
      </c>
      <c r="I59" s="239" t="s">
        <v>1123</v>
      </c>
      <c r="O59" s="226">
        <f t="shared" si="1"/>
        <v>58</v>
      </c>
      <c r="P59" s="231" t="s">
        <v>1186</v>
      </c>
      <c r="Q59" s="228" t="s">
        <v>218</v>
      </c>
      <c r="R59" s="228" t="s">
        <v>1102</v>
      </c>
      <c r="S59" s="228" t="s">
        <v>1078</v>
      </c>
      <c r="T59" s="230" t="str">
        <f>VLOOKUP(Q59,'Lịch kiểm kê 2025'!E:E,1,0)</f>
        <v>KFM_HCM_Q07 - R13 Hưng Vượng 2 - MINI</v>
      </c>
    </row>
    <row r="60">
      <c r="A60" s="226" t="str">
        <f t="shared" si="2"/>
        <v>PHL</v>
      </c>
      <c r="B60" s="2" t="s">
        <v>1089</v>
      </c>
      <c r="C60" s="2" t="s">
        <v>221</v>
      </c>
      <c r="G60" s="237" t="s">
        <v>804</v>
      </c>
      <c r="H60" s="238" t="s">
        <v>181</v>
      </c>
      <c r="I60" s="239" t="s">
        <v>1123</v>
      </c>
      <c r="O60" s="226">
        <f t="shared" si="1"/>
        <v>59</v>
      </c>
      <c r="P60" s="231" t="s">
        <v>1187</v>
      </c>
      <c r="Q60" s="228" t="s">
        <v>266</v>
      </c>
      <c r="R60" s="228" t="s">
        <v>1080</v>
      </c>
      <c r="S60" s="228" t="s">
        <v>1082</v>
      </c>
      <c r="T60" s="230" t="str">
        <f>VLOOKUP(Q60,'Lịch kiểm kê 2025'!E:E,1,0)</f>
        <v>KFM_HCM_TBI - 165 Hoàng Hoa Thám - MINI</v>
      </c>
    </row>
    <row r="61">
      <c r="A61" s="226" t="str">
        <f t="shared" si="2"/>
        <v>HMN</v>
      </c>
      <c r="B61" s="2" t="s">
        <v>1096</v>
      </c>
      <c r="C61" s="2" t="s">
        <v>315</v>
      </c>
      <c r="G61" s="237" t="s">
        <v>812</v>
      </c>
      <c r="H61" s="244" t="s">
        <v>355</v>
      </c>
      <c r="I61" s="239" t="s">
        <v>1123</v>
      </c>
      <c r="O61" s="226">
        <f t="shared" si="1"/>
        <v>60</v>
      </c>
      <c r="P61" s="229">
        <v>45299.0</v>
      </c>
      <c r="Q61" s="228" t="s">
        <v>322</v>
      </c>
      <c r="R61" s="228" t="s">
        <v>1080</v>
      </c>
      <c r="S61" s="228" t="s">
        <v>1098</v>
      </c>
      <c r="T61" s="230" t="str">
        <f>VLOOKUP(Q61,'Lịch kiểm kê 2025'!E:E,1,0)</f>
        <v>KFM_HCM_BTH - 42 Nguyễn Văn Đậu - MINI</v>
      </c>
    </row>
    <row r="62">
      <c r="A62" s="226" t="str">
        <f t="shared" si="2"/>
        <v>NTT</v>
      </c>
      <c r="B62" s="54" t="s">
        <v>1089</v>
      </c>
      <c r="C62" s="54" t="s">
        <v>340</v>
      </c>
      <c r="G62" s="237" t="s">
        <v>781</v>
      </c>
      <c r="H62" s="238" t="s">
        <v>347</v>
      </c>
      <c r="I62" s="239" t="s">
        <v>1123</v>
      </c>
      <c r="O62" s="226">
        <f t="shared" si="1"/>
        <v>61</v>
      </c>
      <c r="P62" s="231" t="s">
        <v>1188</v>
      </c>
      <c r="Q62" s="228" t="s">
        <v>276</v>
      </c>
      <c r="R62" s="228" t="s">
        <v>1080</v>
      </c>
      <c r="S62" s="228" t="s">
        <v>1095</v>
      </c>
      <c r="T62" s="230" t="str">
        <f>VLOOKUP(Q62,'Lịch kiểm kê 2025'!E:E,1,0)</f>
        <v>KFM_HCM_Q7 - 01 Đường Số 10 Tân Kiểng - MINI</v>
      </c>
    </row>
    <row r="63">
      <c r="A63" s="226" t="str">
        <f t="shared" si="2"/>
        <v>VGP</v>
      </c>
      <c r="B63" s="30" t="s">
        <v>1092</v>
      </c>
      <c r="C63" s="30" t="s">
        <v>319</v>
      </c>
      <c r="G63" s="237" t="s">
        <v>1008</v>
      </c>
      <c r="H63" s="238" t="s">
        <v>281</v>
      </c>
      <c r="I63" s="239" t="s">
        <v>1126</v>
      </c>
      <c r="O63" s="226">
        <f t="shared" si="1"/>
        <v>62</v>
      </c>
      <c r="P63" s="231" t="s">
        <v>1189</v>
      </c>
      <c r="Q63" s="228" t="s">
        <v>51</v>
      </c>
      <c r="R63" s="228" t="s">
        <v>1102</v>
      </c>
      <c r="S63" s="228" t="s">
        <v>1175</v>
      </c>
      <c r="T63" s="230" t="str">
        <f>VLOOKUP(Q63,'Lịch kiểm kê 2025'!E:E,1,0)</f>
        <v>KFM_HCM_TDU - A1.04 Jamila Khang Điền - MINI</v>
      </c>
    </row>
    <row r="64">
      <c r="A64" s="226" t="str">
        <f t="shared" si="2"/>
        <v>NVT</v>
      </c>
      <c r="B64" s="30" t="s">
        <v>1092</v>
      </c>
      <c r="C64" s="30" t="s">
        <v>223</v>
      </c>
      <c r="G64" s="237" t="s">
        <v>793</v>
      </c>
      <c r="H64" s="238" t="s">
        <v>208</v>
      </c>
      <c r="I64" s="239" t="s">
        <v>1126</v>
      </c>
      <c r="O64" s="226">
        <f t="shared" si="1"/>
        <v>63</v>
      </c>
      <c r="P64" s="231" t="s">
        <v>1190</v>
      </c>
      <c r="Q64" s="228" t="s">
        <v>361</v>
      </c>
      <c r="R64" s="228" t="s">
        <v>1080</v>
      </c>
      <c r="S64" s="228" t="s">
        <v>1081</v>
      </c>
      <c r="T64" s="230" t="str">
        <f>VLOOKUP(Q64,'Lịch kiểm kê 2025'!E:E,1,0)</f>
        <v>KFM_HCM_Q03 - 14 Huỳnh Tịnh Của - MINI</v>
      </c>
    </row>
    <row r="65">
      <c r="A65" s="226" t="str">
        <f t="shared" si="2"/>
        <v>MTE</v>
      </c>
      <c r="B65" s="2" t="s">
        <v>1092</v>
      </c>
      <c r="C65" s="2" t="s">
        <v>229</v>
      </c>
      <c r="G65" s="237" t="s">
        <v>1000</v>
      </c>
      <c r="H65" s="238" t="s">
        <v>199</v>
      </c>
      <c r="I65" s="239" t="s">
        <v>1126</v>
      </c>
      <c r="O65" s="226">
        <f t="shared" si="1"/>
        <v>64</v>
      </c>
      <c r="P65" s="231" t="s">
        <v>1191</v>
      </c>
      <c r="Q65" s="228" t="s">
        <v>53</v>
      </c>
      <c r="R65" s="228" t="s">
        <v>1102</v>
      </c>
      <c r="S65" s="228" t="s">
        <v>1172</v>
      </c>
      <c r="T65" s="230" t="str">
        <f>VLOOKUP(Q65,'Lịch kiểm kê 2025'!E:E,1,0)</f>
        <v>KFM_BDU_DAN - 01-06 TMDV Him Lam Phú Đông - MINI</v>
      </c>
    </row>
    <row r="66">
      <c r="A66" s="226" t="str">
        <f t="shared" si="2"/>
        <v>PKD</v>
      </c>
      <c r="B66" s="2" t="s">
        <v>1099</v>
      </c>
      <c r="C66" s="2" t="s">
        <v>355</v>
      </c>
      <c r="G66" s="237" t="s">
        <v>797</v>
      </c>
      <c r="H66" s="238" t="s">
        <v>309</v>
      </c>
      <c r="I66" s="239" t="s">
        <v>1126</v>
      </c>
      <c r="O66" s="226">
        <f t="shared" si="1"/>
        <v>65</v>
      </c>
      <c r="P66" s="231" t="s">
        <v>1192</v>
      </c>
      <c r="Q66" s="228" t="s">
        <v>272</v>
      </c>
      <c r="R66" s="228" t="s">
        <v>1077</v>
      </c>
      <c r="S66" s="228" t="s">
        <v>1175</v>
      </c>
      <c r="T66" s="230" t="str">
        <f>VLOOKUP(Q66,'Lịch kiểm kê 2025'!E:E,1,0)</f>
        <v>KFM_HCM_TDU - 1426 Nguyễn Duy Trinh - MINI</v>
      </c>
    </row>
    <row r="67">
      <c r="A67" s="226" t="str">
        <f t="shared" si="2"/>
        <v>TMY</v>
      </c>
      <c r="B67" s="2" t="s">
        <v>1089</v>
      </c>
      <c r="C67" s="2" t="s">
        <v>204</v>
      </c>
      <c r="G67" s="237" t="s">
        <v>994</v>
      </c>
      <c r="H67" s="238" t="s">
        <v>343</v>
      </c>
      <c r="I67" s="239" t="s">
        <v>1126</v>
      </c>
      <c r="O67" s="226">
        <f t="shared" si="1"/>
        <v>66</v>
      </c>
      <c r="P67" s="231" t="s">
        <v>1193</v>
      </c>
      <c r="Q67" s="228" t="s">
        <v>347</v>
      </c>
      <c r="R67" s="228" t="s">
        <v>1102</v>
      </c>
      <c r="S67" s="228" t="s">
        <v>1178</v>
      </c>
      <c r="T67" s="230" t="str">
        <f>VLOOKUP(Q67,'Lịch kiểm kê 2025'!E:E,1,0)</f>
        <v>KFM_HCM_BCH - D-2.01A Westgate An Gia - MINI</v>
      </c>
    </row>
    <row r="68">
      <c r="A68" s="226" t="str">
        <f t="shared" si="2"/>
        <v>LVT</v>
      </c>
      <c r="B68" s="30" t="s">
        <v>1096</v>
      </c>
      <c r="C68" s="30" t="s">
        <v>194</v>
      </c>
      <c r="G68" s="237" t="s">
        <v>923</v>
      </c>
      <c r="H68" s="238" t="s">
        <v>152</v>
      </c>
      <c r="I68" s="239" t="s">
        <v>1130</v>
      </c>
      <c r="O68" s="226">
        <f t="shared" si="1"/>
        <v>67</v>
      </c>
      <c r="P68" s="231" t="s">
        <v>1193</v>
      </c>
      <c r="Q68" s="228" t="s">
        <v>274</v>
      </c>
      <c r="R68" s="228" t="s">
        <v>1102</v>
      </c>
      <c r="S68" s="228" t="s">
        <v>1122</v>
      </c>
      <c r="T68" s="230" t="str">
        <f>VLOOKUP(Q68,'Lịch kiểm kê 2025'!E:E,1,0)</f>
        <v>KFM_HCM_TDU - S07.02 Vinhomes Grand Park - MINI</v>
      </c>
    </row>
    <row r="69">
      <c r="A69" s="226" t="str">
        <f t="shared" si="2"/>
        <v>LVN</v>
      </c>
      <c r="B69" s="30" t="s">
        <v>1089</v>
      </c>
      <c r="C69" s="30" t="s">
        <v>326</v>
      </c>
      <c r="G69" s="237" t="s">
        <v>920</v>
      </c>
      <c r="H69" s="238" t="s">
        <v>173</v>
      </c>
      <c r="I69" s="239" t="s">
        <v>1130</v>
      </c>
      <c r="O69" s="226">
        <f t="shared" si="1"/>
        <v>68</v>
      </c>
      <c r="P69" s="231" t="s">
        <v>1194</v>
      </c>
      <c r="Q69" s="228" t="s">
        <v>330</v>
      </c>
      <c r="R69" s="228" t="s">
        <v>1102</v>
      </c>
      <c r="S69" s="243"/>
      <c r="T69" s="230" t="str">
        <f>VLOOKUP(Q69,'Lịch kiểm kê 2025'!E:E,1,0)</f>
        <v>KFM_HCM_Q07 - Block A Himlam Riverside Q7 - MINI</v>
      </c>
    </row>
    <row r="70">
      <c r="A70" s="226" t="str">
        <f t="shared" si="2"/>
        <v>NKM</v>
      </c>
      <c r="B70" s="30" t="s">
        <v>1096</v>
      </c>
      <c r="C70" s="30" t="s">
        <v>87</v>
      </c>
      <c r="G70" s="237" t="s">
        <v>875</v>
      </c>
      <c r="H70" s="238" t="s">
        <v>382</v>
      </c>
      <c r="I70" s="239" t="s">
        <v>1130</v>
      </c>
      <c r="O70" s="226">
        <f t="shared" si="1"/>
        <v>69</v>
      </c>
      <c r="P70" s="231" t="s">
        <v>1195</v>
      </c>
      <c r="Q70" s="228" t="s">
        <v>309</v>
      </c>
      <c r="R70" s="228" t="s">
        <v>1080</v>
      </c>
      <c r="S70" s="228" t="s">
        <v>1133</v>
      </c>
      <c r="T70" s="230" t="str">
        <f>VLOOKUP(Q70,'Lịch kiểm kê 2025'!E:E,1,0)</f>
        <v>KFM_HCM_BTA - 66/70 Bình Thành - MINI</v>
      </c>
    </row>
    <row r="71">
      <c r="A71" s="226" t="str">
        <f t="shared" si="2"/>
        <v>MZ2</v>
      </c>
      <c r="B71" s="30" t="s">
        <v>1099</v>
      </c>
      <c r="C71" s="30" t="s">
        <v>248</v>
      </c>
      <c r="G71" s="237" t="s">
        <v>877</v>
      </c>
      <c r="H71" s="238" t="s">
        <v>361</v>
      </c>
      <c r="I71" s="239" t="s">
        <v>1130</v>
      </c>
      <c r="O71" s="226">
        <f t="shared" si="1"/>
        <v>70</v>
      </c>
      <c r="P71" s="229">
        <v>45361.0</v>
      </c>
      <c r="Q71" s="228" t="s">
        <v>288</v>
      </c>
      <c r="R71" s="228" t="s">
        <v>1080</v>
      </c>
      <c r="S71" s="228" t="s">
        <v>1103</v>
      </c>
      <c r="T71" s="230" t="str">
        <f>VLOOKUP(Q71,'Lịch kiểm kê 2025'!E:E,1,0)</f>
        <v>KFM_HCM_GVA - 299 Nguyễn Văn Khối - MINI</v>
      </c>
    </row>
    <row r="72">
      <c r="A72" s="226" t="str">
        <f t="shared" si="2"/>
        <v>VH2</v>
      </c>
      <c r="B72" s="30" t="s">
        <v>1092</v>
      </c>
      <c r="C72" s="30" t="s">
        <v>327</v>
      </c>
      <c r="G72" s="237" t="s">
        <v>996</v>
      </c>
      <c r="H72" s="238" t="s">
        <v>211</v>
      </c>
      <c r="I72" s="239" t="s">
        <v>1130</v>
      </c>
      <c r="O72" s="226">
        <f t="shared" si="1"/>
        <v>71</v>
      </c>
      <c r="P72" s="229">
        <v>45636.0</v>
      </c>
      <c r="Q72" s="228" t="s">
        <v>149</v>
      </c>
      <c r="R72" s="228" t="s">
        <v>1102</v>
      </c>
      <c r="S72" s="228" t="s">
        <v>1161</v>
      </c>
      <c r="T72" s="230" t="str">
        <f>VLOOKUP(Q72,'Lịch kiểm kê 2025'!E:E,1,0)</f>
        <v>KFM_HCM_TDU - 0.01 Chung cư An Cư An Phú - MINI</v>
      </c>
    </row>
    <row r="73">
      <c r="A73" s="226" t="str">
        <f t="shared" si="2"/>
        <v>GHA</v>
      </c>
      <c r="B73" s="30" t="s">
        <v>1092</v>
      </c>
      <c r="C73" s="30" t="s">
        <v>252</v>
      </c>
      <c r="G73" s="237" t="s">
        <v>1006</v>
      </c>
      <c r="H73" s="238" t="s">
        <v>270</v>
      </c>
      <c r="I73" s="239" t="s">
        <v>1135</v>
      </c>
      <c r="O73" s="226">
        <f t="shared" si="1"/>
        <v>72</v>
      </c>
      <c r="P73" s="231" t="s">
        <v>1196</v>
      </c>
      <c r="Q73" s="228" t="s">
        <v>178</v>
      </c>
      <c r="R73" s="228" t="s">
        <v>1102</v>
      </c>
      <c r="S73" s="228" t="s">
        <v>1161</v>
      </c>
      <c r="T73" s="230" t="str">
        <f>VLOOKUP(Q73,'Lịch kiểm kê 2025'!E:E,1,0)</f>
        <v>KFM_HCM_TDU - SAV_04-00.03 The Sun Avenue - MINI</v>
      </c>
    </row>
    <row r="74">
      <c r="A74" s="226" t="str">
        <f t="shared" si="2"/>
        <v>RS4</v>
      </c>
      <c r="B74" s="2" t="s">
        <v>1099</v>
      </c>
      <c r="C74" s="2" t="s">
        <v>258</v>
      </c>
      <c r="G74" s="237" t="s">
        <v>882</v>
      </c>
      <c r="H74" s="238" t="s">
        <v>56</v>
      </c>
      <c r="I74" s="239" t="s">
        <v>1135</v>
      </c>
      <c r="O74" s="226">
        <f t="shared" si="1"/>
        <v>73</v>
      </c>
      <c r="P74" s="231" t="s">
        <v>1197</v>
      </c>
      <c r="Q74" s="228" t="s">
        <v>244</v>
      </c>
      <c r="R74" s="228" t="s">
        <v>1102</v>
      </c>
      <c r="S74" s="228" t="s">
        <v>1172</v>
      </c>
      <c r="T74" s="230" t="str">
        <f>VLOOKUP(Q74,'Lịch kiểm kê 2025'!E:E,1,0)</f>
        <v>KFM_BDU_TAN - Block A Emerald Golf View - MINI</v>
      </c>
    </row>
    <row r="75">
      <c r="A75" s="226" t="str">
        <f t="shared" si="2"/>
        <v>LVL</v>
      </c>
      <c r="B75" s="2" t="s">
        <v>1089</v>
      </c>
      <c r="C75" s="2" t="s">
        <v>45</v>
      </c>
      <c r="G75" s="237" t="s">
        <v>1007</v>
      </c>
      <c r="H75" s="238" t="s">
        <v>258</v>
      </c>
      <c r="I75" s="239" t="s">
        <v>1135</v>
      </c>
      <c r="O75" s="226">
        <f t="shared" si="1"/>
        <v>74</v>
      </c>
      <c r="P75" s="231" t="s">
        <v>1197</v>
      </c>
      <c r="Q75" s="228" t="s">
        <v>246</v>
      </c>
      <c r="R75" s="228" t="s">
        <v>1102</v>
      </c>
      <c r="S75" s="228" t="s">
        <v>1078</v>
      </c>
      <c r="T75" s="230" t="str">
        <f>VLOOKUP(Q75,'Lịch kiểm kê 2025'!E:E,1,0)</f>
        <v>KFM_HCM_Q07 - C0.01 Riverside Phú Mỹ Hưng - MART</v>
      </c>
    </row>
    <row r="76">
      <c r="A76" s="226" t="str">
        <f t="shared" si="2"/>
        <v>DQH</v>
      </c>
      <c r="B76" s="2" t="s">
        <v>1096</v>
      </c>
      <c r="C76" s="2" t="s">
        <v>328</v>
      </c>
      <c r="G76" s="237" t="s">
        <v>884</v>
      </c>
      <c r="H76" s="238" t="s">
        <v>332</v>
      </c>
      <c r="I76" s="239" t="s">
        <v>1135</v>
      </c>
      <c r="O76" s="226">
        <f t="shared" si="1"/>
        <v>75</v>
      </c>
      <c r="P76" s="229">
        <v>45302.0</v>
      </c>
      <c r="Q76" s="228" t="s">
        <v>379</v>
      </c>
      <c r="R76" s="228" t="s">
        <v>1080</v>
      </c>
      <c r="S76" s="228" t="s">
        <v>1082</v>
      </c>
      <c r="T76" s="230" t="str">
        <f>VLOOKUP(Q76,'Lịch kiểm kê 2025'!E:E,1,0)</f>
        <v>KFM_HCM_TPH - 66 Trương Vĩnh Ký - MINI</v>
      </c>
    </row>
    <row r="77">
      <c r="A77" s="226" t="str">
        <f t="shared" si="2"/>
        <v>PTN</v>
      </c>
      <c r="B77" s="30" t="s">
        <v>1089</v>
      </c>
      <c r="C77" s="30" t="s">
        <v>48</v>
      </c>
      <c r="G77" s="237" t="s">
        <v>802</v>
      </c>
      <c r="H77" s="238" t="s">
        <v>402</v>
      </c>
      <c r="I77" s="239" t="s">
        <v>1135</v>
      </c>
      <c r="O77" s="226">
        <f t="shared" si="1"/>
        <v>76</v>
      </c>
      <c r="P77" s="229">
        <v>45515.0</v>
      </c>
      <c r="Q77" s="228" t="s">
        <v>281</v>
      </c>
      <c r="R77" s="228" t="s">
        <v>1102</v>
      </c>
      <c r="S77" s="228" t="s">
        <v>1133</v>
      </c>
      <c r="T77" s="230" t="str">
        <f>VLOOKUP(Q77,'Lịch kiểm kê 2025'!E:E,1,0)</f>
        <v>KFM_HCM_TPH - S1.0.38 Block A5 Diamond Celadon City - MINI</v>
      </c>
    </row>
    <row r="78">
      <c r="A78" s="226" t="str">
        <f t="shared" si="2"/>
        <v>NVQ</v>
      </c>
      <c r="B78" s="30" t="s">
        <v>1096</v>
      </c>
      <c r="C78" s="30" t="s">
        <v>64</v>
      </c>
      <c r="G78" s="237" t="s">
        <v>934</v>
      </c>
      <c r="H78" s="238" t="s">
        <v>300</v>
      </c>
      <c r="I78" s="239" t="s">
        <v>1140</v>
      </c>
      <c r="O78" s="226">
        <f t="shared" si="1"/>
        <v>77</v>
      </c>
      <c r="P78" s="229">
        <v>45546.0</v>
      </c>
      <c r="Q78" s="228" t="s">
        <v>376</v>
      </c>
      <c r="R78" s="228" t="s">
        <v>1102</v>
      </c>
      <c r="S78" s="228" t="s">
        <v>1143</v>
      </c>
      <c r="T78" s="230" t="str">
        <f>VLOOKUP(Q78,'Lịch kiểm kê 2025'!E:E,1,0)</f>
        <v>KFM_HCM_NBE - SH14-15 Saigon South Residences - MINI</v>
      </c>
    </row>
    <row r="79">
      <c r="A79" s="226" t="str">
        <f t="shared" si="2"/>
        <v>CTH</v>
      </c>
      <c r="B79" s="30" t="s">
        <v>1104</v>
      </c>
      <c r="C79" s="30" t="s">
        <v>41</v>
      </c>
      <c r="G79" s="237" t="s">
        <v>1003</v>
      </c>
      <c r="H79" s="238" t="s">
        <v>379</v>
      </c>
      <c r="I79" s="239" t="s">
        <v>1140</v>
      </c>
      <c r="O79" s="226">
        <f t="shared" si="1"/>
        <v>78</v>
      </c>
      <c r="P79" s="229">
        <v>45546.0</v>
      </c>
      <c r="Q79" s="228" t="s">
        <v>214</v>
      </c>
      <c r="R79" s="228" t="s">
        <v>1102</v>
      </c>
      <c r="S79" s="228" t="s">
        <v>1122</v>
      </c>
      <c r="T79" s="230" t="str">
        <f>VLOOKUP(Q79,'Lịch kiểm kê 2025'!E:E,1,0)</f>
        <v>KFM_HCM_TDU - S03.05 Vinhomes Grand Park - MINI</v>
      </c>
    </row>
    <row r="80">
      <c r="A80" s="226" t="str">
        <f t="shared" si="2"/>
        <v>ECG</v>
      </c>
      <c r="B80" s="54" t="s">
        <v>1089</v>
      </c>
      <c r="C80" s="54" t="s">
        <v>78</v>
      </c>
      <c r="G80" s="237" t="s">
        <v>938</v>
      </c>
      <c r="H80" s="238" t="s">
        <v>315</v>
      </c>
      <c r="I80" s="239" t="s">
        <v>1140</v>
      </c>
      <c r="O80" s="226">
        <f t="shared" si="1"/>
        <v>79</v>
      </c>
      <c r="P80" s="231" t="s">
        <v>1198</v>
      </c>
      <c r="Q80" s="228" t="s">
        <v>370</v>
      </c>
      <c r="R80" s="228" t="s">
        <v>1080</v>
      </c>
      <c r="S80" s="228" t="s">
        <v>1098</v>
      </c>
      <c r="T80" s="230" t="str">
        <f>VLOOKUP(Q80,'Lịch kiểm kê 2025'!E:E,1,0)</f>
        <v>KFM_HCM_TDU - 02 Nguyễn Thị Nhung - MINI</v>
      </c>
    </row>
    <row r="81">
      <c r="A81" s="226" t="str">
        <f t="shared" si="2"/>
        <v>JKD</v>
      </c>
      <c r="B81" s="30" t="s">
        <v>1092</v>
      </c>
      <c r="C81" s="30" t="s">
        <v>51</v>
      </c>
      <c r="G81" s="237" t="s">
        <v>931</v>
      </c>
      <c r="H81" s="238" t="s">
        <v>266</v>
      </c>
      <c r="I81" s="239" t="s">
        <v>1140</v>
      </c>
      <c r="O81" s="226">
        <f t="shared" si="1"/>
        <v>80</v>
      </c>
      <c r="P81" s="231" t="s">
        <v>1199</v>
      </c>
      <c r="Q81" s="228" t="s">
        <v>358</v>
      </c>
      <c r="R81" s="228" t="s">
        <v>1102</v>
      </c>
      <c r="S81" s="228" t="s">
        <v>1129</v>
      </c>
      <c r="T81" s="230" t="str">
        <f>VLOOKUP(Q81,'Lịch kiểm kê 2025'!E:E,1,0)</f>
        <v>KFM_HCM_Q12 - AS19 Block A Prosper Plaza - MINI</v>
      </c>
    </row>
    <row r="82">
      <c r="A82" s="226" t="str">
        <f t="shared" si="2"/>
        <v>HHT</v>
      </c>
      <c r="B82" s="30" t="s">
        <v>1096</v>
      </c>
      <c r="C82" s="30" t="s">
        <v>255</v>
      </c>
      <c r="G82" s="237" t="s">
        <v>933</v>
      </c>
      <c r="H82" s="238" t="s">
        <v>255</v>
      </c>
      <c r="I82" s="239" t="s">
        <v>1140</v>
      </c>
      <c r="O82" s="226">
        <f t="shared" si="1"/>
        <v>81</v>
      </c>
      <c r="P82" s="231" t="s">
        <v>1199</v>
      </c>
      <c r="Q82" s="228" t="s">
        <v>169</v>
      </c>
      <c r="R82" s="228" t="s">
        <v>1102</v>
      </c>
      <c r="S82" s="228" t="s">
        <v>1172</v>
      </c>
      <c r="T82" s="230" t="str">
        <f>VLOOKUP(Q82,'Lịch kiểm kê 2025'!E:E,1,0)</f>
        <v>KFM_BDU_DAN - S01.11 Block A1 Charm Sapphire - MINI</v>
      </c>
    </row>
    <row r="83">
      <c r="A83" s="226" t="str">
        <f t="shared" si="2"/>
        <v>HPD</v>
      </c>
      <c r="B83" s="2" t="s">
        <v>1092</v>
      </c>
      <c r="C83" s="2" t="s">
        <v>53</v>
      </c>
      <c r="G83" s="237" t="s">
        <v>1200</v>
      </c>
      <c r="H83" s="245" t="s">
        <v>206</v>
      </c>
      <c r="I83" s="239" t="s">
        <v>1140</v>
      </c>
      <c r="O83" s="226">
        <f t="shared" si="1"/>
        <v>82</v>
      </c>
      <c r="P83" s="231" t="s">
        <v>1201</v>
      </c>
      <c r="Q83" s="228" t="s">
        <v>155</v>
      </c>
      <c r="R83" s="228" t="s">
        <v>1102</v>
      </c>
      <c r="S83" s="228" t="s">
        <v>1088</v>
      </c>
      <c r="T83" s="230" t="str">
        <f>VLOOKUP(Q83,'Lịch kiểm kê 2025'!E:E,1,0)</f>
        <v>KFM_HCM_Q07 - Lô CD L1-12 Q7 Riverside Đào Trí - MINI</v>
      </c>
    </row>
    <row r="84">
      <c r="A84" s="226" t="str">
        <f t="shared" si="2"/>
        <v>CLN</v>
      </c>
      <c r="B84" s="30" t="s">
        <v>1099</v>
      </c>
      <c r="C84" s="30" t="s">
        <v>56</v>
      </c>
      <c r="G84" s="237" t="s">
        <v>831</v>
      </c>
      <c r="H84" s="238" t="s">
        <v>389</v>
      </c>
      <c r="I84" s="239" t="s">
        <v>1144</v>
      </c>
      <c r="O84" s="226">
        <f t="shared" si="1"/>
        <v>83</v>
      </c>
      <c r="P84" s="231" t="s">
        <v>1202</v>
      </c>
      <c r="Q84" s="228" t="s">
        <v>147</v>
      </c>
      <c r="R84" s="228" t="s">
        <v>1080</v>
      </c>
      <c r="S84" s="228" t="s">
        <v>1103</v>
      </c>
      <c r="T84" s="230" t="str">
        <f>VLOOKUP(Q84,'Lịch kiểm kê 2025'!E:E,1,0)</f>
        <v>KFM_HCM_TBI - 64A Cửu Long - MINI</v>
      </c>
    </row>
    <row r="85">
      <c r="A85" s="226" t="str">
        <f t="shared" si="2"/>
        <v>HHM</v>
      </c>
      <c r="B85" s="30" t="s">
        <v>1096</v>
      </c>
      <c r="C85" s="30" t="s">
        <v>266</v>
      </c>
      <c r="G85" s="237" t="s">
        <v>825</v>
      </c>
      <c r="H85" s="238" t="s">
        <v>322</v>
      </c>
      <c r="I85" s="239" t="s">
        <v>1144</v>
      </c>
      <c r="O85" s="226">
        <f t="shared" si="1"/>
        <v>84</v>
      </c>
      <c r="P85" s="231" t="s">
        <v>1202</v>
      </c>
      <c r="Q85" s="228" t="s">
        <v>404</v>
      </c>
      <c r="R85" s="228" t="s">
        <v>1080</v>
      </c>
      <c r="S85" s="228" t="s">
        <v>1088</v>
      </c>
      <c r="T85" s="230" t="str">
        <f>VLOOKUP(Q85,'Lịch kiểm kê 2025'!E:E,1,0)</f>
        <v>KFM_HCM_Q07 - 39 Lý Phục Man - MINI</v>
      </c>
    </row>
    <row r="86">
      <c r="A86" s="226" t="str">
        <f t="shared" si="2"/>
        <v>CKO</v>
      </c>
      <c r="B86" s="30" t="s">
        <v>1099</v>
      </c>
      <c r="C86" s="30" t="s">
        <v>270</v>
      </c>
      <c r="G86" s="237" t="s">
        <v>833</v>
      </c>
      <c r="H86" s="238" t="s">
        <v>163</v>
      </c>
      <c r="I86" s="239" t="s">
        <v>1144</v>
      </c>
      <c r="O86" s="226">
        <f t="shared" si="1"/>
        <v>85</v>
      </c>
      <c r="P86" s="231" t="s">
        <v>1203</v>
      </c>
      <c r="Q86" s="228" t="s">
        <v>85</v>
      </c>
      <c r="R86" s="228" t="s">
        <v>1102</v>
      </c>
      <c r="S86" s="228" t="s">
        <v>1078</v>
      </c>
      <c r="T86" s="230" t="str">
        <f>VLOOKUP(Q86,'Lịch kiểm kê 2025'!E:E,1,0)</f>
        <v>KFM_HCM_Q07 - B0.02 Scenic Valley 2 - MINI</v>
      </c>
    </row>
    <row r="87">
      <c r="A87" s="226" t="str">
        <f t="shared" si="2"/>
        <v>HTP</v>
      </c>
      <c r="B87" s="54" t="s">
        <v>1089</v>
      </c>
      <c r="C87" s="54" t="s">
        <v>335</v>
      </c>
      <c r="G87" s="237" t="s">
        <v>943</v>
      </c>
      <c r="H87" s="238" t="s">
        <v>370</v>
      </c>
      <c r="I87" s="239" t="s">
        <v>1144</v>
      </c>
      <c r="O87" s="226">
        <f t="shared" si="1"/>
        <v>86</v>
      </c>
      <c r="P87" s="231" t="s">
        <v>1203</v>
      </c>
      <c r="Q87" s="228" t="s">
        <v>144</v>
      </c>
      <c r="R87" s="228" t="s">
        <v>1102</v>
      </c>
      <c r="S87" s="228" t="s">
        <v>1129</v>
      </c>
      <c r="T87" s="230" t="str">
        <f>VLOOKUP(Q87,'Lịch kiểm kê 2025'!E:E,1,0)</f>
        <v>KFM_HCM_Q12 - Block B1 Hưng Ngân Garden - MINI</v>
      </c>
    </row>
    <row r="88">
      <c r="A88" s="226" t="str">
        <f t="shared" si="2"/>
        <v>NDH</v>
      </c>
      <c r="B88" s="30" t="s">
        <v>1092</v>
      </c>
      <c r="C88" s="30" t="s">
        <v>272</v>
      </c>
      <c r="G88" s="237" t="s">
        <v>837</v>
      </c>
      <c r="H88" s="238" t="s">
        <v>232</v>
      </c>
      <c r="I88" s="239" t="s">
        <v>1144</v>
      </c>
      <c r="O88" s="226">
        <f t="shared" si="1"/>
        <v>87</v>
      </c>
      <c r="P88" s="231" t="s">
        <v>1204</v>
      </c>
      <c r="Q88" s="228" t="s">
        <v>136</v>
      </c>
      <c r="R88" s="228" t="s">
        <v>1080</v>
      </c>
      <c r="S88" s="228" t="s">
        <v>1159</v>
      </c>
      <c r="T88" s="230" t="str">
        <f>VLOOKUP(Q88,'Lịch kiểm kê 2025'!E:E,1,0)</f>
        <v>KFM_HCM_TDU - 17 Hồ Thị Nhung - MINI</v>
      </c>
    </row>
    <row r="89">
      <c r="A89" s="226" t="str">
        <f t="shared" si="2"/>
        <v>BQI</v>
      </c>
      <c r="B89" s="30" t="s">
        <v>1104</v>
      </c>
      <c r="C89" s="30" t="s">
        <v>237</v>
      </c>
      <c r="G89" s="237" t="s">
        <v>749</v>
      </c>
      <c r="H89" s="238" t="s">
        <v>187</v>
      </c>
      <c r="I89" s="239" t="s">
        <v>1147</v>
      </c>
      <c r="O89" s="226">
        <f t="shared" si="1"/>
        <v>88</v>
      </c>
      <c r="P89" s="231" t="s">
        <v>1205</v>
      </c>
      <c r="Q89" s="228" t="s">
        <v>181</v>
      </c>
      <c r="R89" s="228" t="s">
        <v>1102</v>
      </c>
      <c r="S89" s="228" t="s">
        <v>1178</v>
      </c>
      <c r="T89" s="230" t="str">
        <f>VLOOKUP(Q89,'Lịch kiểm kê 2025'!E:E,1,0)</f>
        <v>KFM_HCM_BTA - A10-0.02 Ehome 3 - MINI</v>
      </c>
    </row>
    <row r="90">
      <c r="A90" s="226" t="str">
        <f t="shared" si="2"/>
        <v>THD</v>
      </c>
      <c r="B90" s="2" t="s">
        <v>1099</v>
      </c>
      <c r="C90" s="2" t="s">
        <v>332</v>
      </c>
      <c r="G90" s="237" t="s">
        <v>752</v>
      </c>
      <c r="H90" s="238" t="s">
        <v>190</v>
      </c>
      <c r="I90" s="239" t="s">
        <v>1147</v>
      </c>
      <c r="O90" s="226">
        <f t="shared" si="1"/>
        <v>89</v>
      </c>
      <c r="P90" s="229">
        <v>45870.0</v>
      </c>
      <c r="Q90" s="228" t="s">
        <v>173</v>
      </c>
      <c r="R90" s="228" t="s">
        <v>1080</v>
      </c>
      <c r="S90" s="228" t="s">
        <v>1081</v>
      </c>
      <c r="T90" s="230" t="str">
        <f>VLOOKUP(Q90,'Lịch kiểm kê 2025'!E:E,1,0)</f>
        <v>KFM_HCM_Q10 - 103 Hòa Hưng - MINI</v>
      </c>
    </row>
    <row r="91">
      <c r="A91" s="226" t="str">
        <f t="shared" si="2"/>
        <v>VHT</v>
      </c>
      <c r="B91" s="2" t="s">
        <v>1104</v>
      </c>
      <c r="C91" s="2" t="s">
        <v>389</v>
      </c>
      <c r="G91" s="237" t="s">
        <v>757</v>
      </c>
      <c r="H91" s="238" t="s">
        <v>244</v>
      </c>
      <c r="I91" s="239" t="s">
        <v>1147</v>
      </c>
      <c r="O91" s="226">
        <f t="shared" si="1"/>
        <v>90</v>
      </c>
      <c r="P91" s="231" t="s">
        <v>1206</v>
      </c>
      <c r="Q91" s="228" t="s">
        <v>216</v>
      </c>
      <c r="R91" s="228" t="s">
        <v>1080</v>
      </c>
      <c r="S91" s="228" t="s">
        <v>1178</v>
      </c>
      <c r="T91" s="230" t="str">
        <f>VLOOKUP(Q91,'Lịch kiểm kê 2025'!E:E,1,0)</f>
        <v>KFM_HCM_Q08 - 296 Hoàng Ngân - MINI</v>
      </c>
    </row>
    <row r="92">
      <c r="A92" s="226" t="str">
        <f t="shared" si="2"/>
        <v>WGA</v>
      </c>
      <c r="B92" s="2" t="s">
        <v>1099</v>
      </c>
      <c r="C92" s="2" t="s">
        <v>347</v>
      </c>
      <c r="G92" s="237" t="s">
        <v>745</v>
      </c>
      <c r="H92" s="238" t="s">
        <v>169</v>
      </c>
      <c r="I92" s="239" t="s">
        <v>1147</v>
      </c>
      <c r="O92" s="226">
        <f t="shared" si="1"/>
        <v>91</v>
      </c>
      <c r="P92" s="231" t="s">
        <v>1207</v>
      </c>
      <c r="Q92" s="228" t="s">
        <v>382</v>
      </c>
      <c r="R92" s="228" t="s">
        <v>1080</v>
      </c>
      <c r="S92" s="228" t="s">
        <v>1081</v>
      </c>
      <c r="T92" s="230" t="str">
        <f>VLOOKUP(Q92,'Lịch kiểm kê 2025'!E:E,1,0)</f>
        <v>KFM_HCM_Q03 - 10D Kỳ Đồng - MINI</v>
      </c>
    </row>
    <row r="93">
      <c r="A93" s="226" t="str">
        <f t="shared" si="2"/>
        <v>VH4</v>
      </c>
      <c r="B93" s="30" t="s">
        <v>1092</v>
      </c>
      <c r="C93" s="30" t="s">
        <v>274</v>
      </c>
      <c r="G93" s="237" t="s">
        <v>1009</v>
      </c>
      <c r="H93" s="238" t="s">
        <v>53</v>
      </c>
      <c r="I93" s="239" t="s">
        <v>1147</v>
      </c>
      <c r="O93" s="226">
        <f t="shared" si="1"/>
        <v>92</v>
      </c>
      <c r="P93" s="231" t="s">
        <v>1208</v>
      </c>
      <c r="Q93" s="228" t="s">
        <v>300</v>
      </c>
      <c r="R93" s="228" t="s">
        <v>1077</v>
      </c>
      <c r="S93" s="228" t="s">
        <v>1082</v>
      </c>
      <c r="T93" s="230" t="str">
        <f>VLOOKUP(Q93,'Lịch kiểm kê 2025'!E:E,1,0)</f>
        <v>KFM_HCM_TBI - 236A Lê Văn Sỹ - MINI</v>
      </c>
    </row>
    <row r="94">
      <c r="A94" s="226" t="str">
        <f t="shared" si="2"/>
        <v>NVK</v>
      </c>
      <c r="B94" s="2" t="s">
        <v>1096</v>
      </c>
      <c r="C94" s="2" t="s">
        <v>288</v>
      </c>
      <c r="G94" s="237" t="s">
        <v>971</v>
      </c>
      <c r="H94" s="238" t="s">
        <v>197</v>
      </c>
      <c r="I94" s="239" t="s">
        <v>1150</v>
      </c>
      <c r="O94" s="226">
        <f t="shared" si="1"/>
        <v>93</v>
      </c>
      <c r="P94" s="231" t="s">
        <v>1209</v>
      </c>
      <c r="Q94" s="228" t="s">
        <v>352</v>
      </c>
      <c r="R94" s="228" t="s">
        <v>1102</v>
      </c>
      <c r="S94" s="228" t="s">
        <v>1178</v>
      </c>
      <c r="T94" s="230" t="str">
        <f>VLOOKUP(Q94,'Lịch kiểm kê 2025'!E:E,1,0)</f>
        <v>KFM_HCM_Q08 - Block C Diamond Riverside - MINI</v>
      </c>
    </row>
    <row r="95">
      <c r="A95" s="226" t="str">
        <f t="shared" si="2"/>
        <v>Q50</v>
      </c>
      <c r="B95" s="2" t="s">
        <v>1099</v>
      </c>
      <c r="C95" s="2" t="s">
        <v>295</v>
      </c>
      <c r="G95" s="237" t="s">
        <v>963</v>
      </c>
      <c r="H95" s="238" t="s">
        <v>184</v>
      </c>
      <c r="I95" s="239" t="s">
        <v>1150</v>
      </c>
      <c r="O95" s="226">
        <f t="shared" si="1"/>
        <v>94</v>
      </c>
      <c r="P95" s="231" t="s">
        <v>1209</v>
      </c>
      <c r="Q95" s="228" t="s">
        <v>190</v>
      </c>
      <c r="R95" s="228" t="s">
        <v>1102</v>
      </c>
      <c r="S95" s="228" t="s">
        <v>1172</v>
      </c>
      <c r="T95" s="230" t="str">
        <f>VLOOKUP(Q95,'Lịch kiểm kê 2025'!E:E,1,0)</f>
        <v>KFM_BDU_TAN - B.01.04 Tháp B Opal Skyline - MINI</v>
      </c>
    </row>
    <row r="96">
      <c r="A96" s="226" t="str">
        <f t="shared" si="2"/>
        <v>D67</v>
      </c>
      <c r="B96" s="30" t="s">
        <v>1089</v>
      </c>
      <c r="C96" s="30" t="s">
        <v>306</v>
      </c>
      <c r="G96" s="237" t="s">
        <v>967</v>
      </c>
      <c r="H96" s="238" t="s">
        <v>159</v>
      </c>
      <c r="I96" s="239" t="s">
        <v>1150</v>
      </c>
      <c r="O96" s="226">
        <f t="shared" si="1"/>
        <v>95</v>
      </c>
      <c r="P96" s="229">
        <v>45965.0</v>
      </c>
      <c r="Q96" s="228" t="s">
        <v>226</v>
      </c>
      <c r="R96" s="228" t="s">
        <v>1080</v>
      </c>
      <c r="S96" s="228" t="s">
        <v>1159</v>
      </c>
      <c r="T96" s="230" t="str">
        <f>VLOOKUP(Q96,'Lịch kiểm kê 2025'!E:E,1,0)</f>
        <v>KFM_HCM_TDU - 222 Lê Văn Thịnh - MINI</v>
      </c>
    </row>
    <row r="97">
      <c r="A97" s="226" t="str">
        <f t="shared" si="2"/>
        <v>BTH</v>
      </c>
      <c r="B97" s="30" t="s">
        <v>1099</v>
      </c>
      <c r="C97" s="30" t="s">
        <v>309</v>
      </c>
      <c r="G97" s="237" t="s">
        <v>815</v>
      </c>
      <c r="H97" s="238" t="s">
        <v>237</v>
      </c>
      <c r="I97" s="239" t="s">
        <v>1150</v>
      </c>
      <c r="O97" s="226">
        <f t="shared" si="1"/>
        <v>96</v>
      </c>
      <c r="P97" s="231" t="s">
        <v>1210</v>
      </c>
      <c r="Q97" s="228" t="s">
        <v>229</v>
      </c>
      <c r="R97" s="228" t="s">
        <v>1102</v>
      </c>
      <c r="S97" s="228" t="s">
        <v>1175</v>
      </c>
      <c r="T97" s="230" t="str">
        <f>VLOOKUP(Q97,'Lịch kiểm kê 2025'!E:E,1,0)</f>
        <v>KFM_HCM_TDU - D01.14 MT Eastmark City - MINI</v>
      </c>
    </row>
    <row r="98">
      <c r="A98" s="226" t="str">
        <f t="shared" si="2"/>
        <v>CLD</v>
      </c>
      <c r="B98" s="30" t="s">
        <v>1099</v>
      </c>
      <c r="C98" s="30" t="s">
        <v>281</v>
      </c>
      <c r="G98" s="237" t="s">
        <v>819</v>
      </c>
      <c r="H98" s="238" t="s">
        <v>140</v>
      </c>
      <c r="I98" s="239" t="s">
        <v>1150</v>
      </c>
      <c r="O98" s="226">
        <f t="shared" si="1"/>
        <v>97</v>
      </c>
      <c r="P98" s="231" t="s">
        <v>1210</v>
      </c>
      <c r="Q98" s="228" t="s">
        <v>355</v>
      </c>
      <c r="R98" s="228" t="s">
        <v>1102</v>
      </c>
      <c r="S98" s="228" t="s">
        <v>1178</v>
      </c>
      <c r="T98" s="230" t="str">
        <f>VLOOKUP(Q98,'Lịch kiểm kê 2025'!E:E,1,0)</f>
        <v>KFM_HCM_BTA - TMDV19 Privia Khang Điền - MINI</v>
      </c>
    </row>
    <row r="99">
      <c r="A99" s="226" t="str">
        <f t="shared" si="2"/>
        <v>HLR</v>
      </c>
      <c r="B99" s="2" t="s">
        <v>1089</v>
      </c>
      <c r="C99" s="2" t="s">
        <v>330</v>
      </c>
      <c r="G99" s="237" t="s">
        <v>977</v>
      </c>
      <c r="H99" s="238" t="s">
        <v>399</v>
      </c>
      <c r="I99" s="239" t="s">
        <v>1153</v>
      </c>
      <c r="O99" s="226">
        <f t="shared" si="1"/>
        <v>98</v>
      </c>
      <c r="P99" s="229">
        <v>45721.0</v>
      </c>
      <c r="Q99" s="228" t="s">
        <v>287</v>
      </c>
      <c r="R99" s="228" t="s">
        <v>1080</v>
      </c>
      <c r="S99" s="228" t="s">
        <v>1165</v>
      </c>
      <c r="T99" s="230" t="str">
        <f>VLOOKUP(Q99,'Lịch kiểm kê 2025'!E:E,1,0)</f>
        <v>KFM_BDU_DAN - 27 Tân Lập - MINI</v>
      </c>
    </row>
    <row r="100">
      <c r="A100" s="226" t="str">
        <f t="shared" si="2"/>
        <v>RVS</v>
      </c>
      <c r="B100" s="2" t="s">
        <v>1089</v>
      </c>
      <c r="C100" s="2" t="s">
        <v>246</v>
      </c>
      <c r="G100" s="237" t="s">
        <v>989</v>
      </c>
      <c r="H100" s="238" t="s">
        <v>178</v>
      </c>
      <c r="I100" s="239" t="s">
        <v>1153</v>
      </c>
      <c r="O100" s="226">
        <f t="shared" si="1"/>
        <v>99</v>
      </c>
      <c r="P100" s="229">
        <v>45721.0</v>
      </c>
      <c r="Q100" s="228" t="s">
        <v>304</v>
      </c>
      <c r="R100" s="228" t="s">
        <v>1080</v>
      </c>
      <c r="S100" s="228" t="s">
        <v>1159</v>
      </c>
      <c r="T100" s="230" t="str">
        <f>VLOOKUP(Q100,'Lịch kiểm kê 2025'!E:E,1,0)</f>
        <v>KFM_HCM_TDU - 02 Tạ Hiện - MINI</v>
      </c>
    </row>
    <row r="101">
      <c r="A101" s="226" t="str">
        <f t="shared" si="2"/>
        <v>VH5</v>
      </c>
      <c r="B101" s="2" t="s">
        <v>1092</v>
      </c>
      <c r="C101" s="2" t="s">
        <v>214</v>
      </c>
      <c r="G101" s="237" t="s">
        <v>952</v>
      </c>
      <c r="H101" s="238" t="s">
        <v>138</v>
      </c>
      <c r="I101" s="239" t="s">
        <v>1153</v>
      </c>
      <c r="O101" s="226">
        <f t="shared" si="1"/>
        <v>100</v>
      </c>
      <c r="P101" s="229">
        <v>45905.0</v>
      </c>
      <c r="Q101" s="228" t="s">
        <v>234</v>
      </c>
      <c r="R101" s="228" t="s">
        <v>1080</v>
      </c>
      <c r="S101" s="228" t="s">
        <v>1129</v>
      </c>
      <c r="T101" s="230" t="str">
        <f>VLOOKUP(Q101,'Lịch kiểm kê 2025'!E:E,1,0)</f>
        <v>KFM_HCM_GVA - 446 Phạm Văn Bạch - MINI</v>
      </c>
    </row>
    <row r="102">
      <c r="A102" s="226" t="str">
        <f t="shared" si="2"/>
        <v>EMR</v>
      </c>
      <c r="B102" s="2" t="s">
        <v>1096</v>
      </c>
      <c r="C102" s="2" t="s">
        <v>244</v>
      </c>
      <c r="G102" s="237" t="s">
        <v>940</v>
      </c>
      <c r="H102" s="238" t="s">
        <v>149</v>
      </c>
      <c r="I102" s="239" t="s">
        <v>1153</v>
      </c>
      <c r="O102" s="226">
        <f t="shared" si="1"/>
        <v>101</v>
      </c>
      <c r="P102" s="231" t="s">
        <v>1211</v>
      </c>
      <c r="Q102" s="228" t="s">
        <v>285</v>
      </c>
      <c r="R102" s="228" t="s">
        <v>1102</v>
      </c>
      <c r="S102" s="228" t="s">
        <v>1122</v>
      </c>
      <c r="T102" s="230" t="str">
        <f>VLOOKUP(Q102,'Lịch kiểm kê 2025'!E:E,1,0)</f>
        <v>KFM_HCM_TDU - GH5 Vinhomes Grand Park - MINI</v>
      </c>
    </row>
    <row r="103">
      <c r="A103" s="226" t="str">
        <f t="shared" si="2"/>
        <v>TVK</v>
      </c>
      <c r="B103" s="2" t="s">
        <v>1099</v>
      </c>
      <c r="C103" s="2" t="s">
        <v>379</v>
      </c>
      <c r="G103" s="237" t="s">
        <v>958</v>
      </c>
      <c r="H103" s="238" t="s">
        <v>394</v>
      </c>
      <c r="I103" s="239" t="s">
        <v>1156</v>
      </c>
      <c r="O103" s="226">
        <f t="shared" si="1"/>
        <v>102</v>
      </c>
      <c r="P103" s="231" t="s">
        <v>1212</v>
      </c>
      <c r="Q103" s="228" t="s">
        <v>385</v>
      </c>
      <c r="R103" s="228" t="s">
        <v>1102</v>
      </c>
      <c r="S103" s="228" t="s">
        <v>1122</v>
      </c>
      <c r="T103" s="230" t="str">
        <f>VLOOKUP(Q103,'Lịch kiểm kê 2025'!E:E,1,0)</f>
        <v>KFM_HCM_TDU - BS11 Vinhomes Grand Park - MINI</v>
      </c>
    </row>
    <row r="104">
      <c r="A104" s="226" t="str">
        <f t="shared" si="2"/>
        <v>PPZ</v>
      </c>
      <c r="B104" s="30" t="s">
        <v>1096</v>
      </c>
      <c r="C104" s="30" t="s">
        <v>358</v>
      </c>
      <c r="G104" s="237" t="s">
        <v>954</v>
      </c>
      <c r="H104" s="238" t="s">
        <v>136</v>
      </c>
      <c r="I104" s="239" t="s">
        <v>1156</v>
      </c>
      <c r="O104" s="226">
        <f t="shared" si="1"/>
        <v>103</v>
      </c>
      <c r="P104" s="229">
        <v>45814.0</v>
      </c>
      <c r="Q104" s="228" t="s">
        <v>388</v>
      </c>
      <c r="R104" s="228" t="s">
        <v>1077</v>
      </c>
      <c r="S104" s="228" t="s">
        <v>1165</v>
      </c>
      <c r="T104" s="230" t="str">
        <f>VLOOKUP(Q104,'Lịch kiểm kê 2025'!E:E,1,0)</f>
        <v>KFM_HCM_TDU - 128A Kha Vạn Cân - MINI</v>
      </c>
    </row>
    <row r="105">
      <c r="A105" s="226" t="str">
        <f t="shared" si="2"/>
        <v>HTC</v>
      </c>
      <c r="B105" s="30" t="s">
        <v>1104</v>
      </c>
      <c r="C105" s="30" t="s">
        <v>361</v>
      </c>
      <c r="G105" s="237" t="s">
        <v>956</v>
      </c>
      <c r="H105" s="244" t="s">
        <v>226</v>
      </c>
      <c r="I105" s="239" t="s">
        <v>1156</v>
      </c>
      <c r="O105" s="226">
        <f t="shared" si="1"/>
        <v>104</v>
      </c>
      <c r="P105" s="231" t="s">
        <v>1213</v>
      </c>
      <c r="Q105" s="228" t="s">
        <v>297</v>
      </c>
      <c r="R105" s="228" t="s">
        <v>1080</v>
      </c>
      <c r="S105" s="228" t="s">
        <v>1165</v>
      </c>
      <c r="T105" s="230" t="str">
        <f>VLOOKUP(Q105,'Lịch kiểm kê 2025'!E:E,1,0)</f>
        <v>KFM_HCM_TDU - 02 Lê Lợi - MINI</v>
      </c>
    </row>
    <row r="106">
      <c r="A106" s="226" t="str">
        <f t="shared" si="2"/>
        <v>NHG</v>
      </c>
      <c r="B106" s="30" t="s">
        <v>1096</v>
      </c>
      <c r="C106" s="30" t="s">
        <v>232</v>
      </c>
      <c r="G106" s="237" t="s">
        <v>991</v>
      </c>
      <c r="H106" s="238" t="s">
        <v>41</v>
      </c>
      <c r="I106" s="239" t="s">
        <v>1156</v>
      </c>
      <c r="O106" s="226">
        <f t="shared" si="1"/>
        <v>105</v>
      </c>
      <c r="P106" s="231" t="s">
        <v>1214</v>
      </c>
      <c r="Q106" s="228" t="s">
        <v>290</v>
      </c>
      <c r="R106" s="228" t="s">
        <v>1077</v>
      </c>
      <c r="S106" s="228" t="s">
        <v>1088</v>
      </c>
      <c r="T106" s="230" t="str">
        <f>VLOOKUP(Q106,'Lịch kiểm kê 2025'!E:E,1,0)</f>
        <v>KFM_HCM_NBE - 5/3D Huỳnh Tấn Phát - MINI</v>
      </c>
    </row>
    <row r="107">
      <c r="A107" s="226" t="str">
        <f t="shared" si="2"/>
        <v>VPC</v>
      </c>
      <c r="B107" s="30" t="s">
        <v>1092</v>
      </c>
      <c r="C107" s="30" t="s">
        <v>370</v>
      </c>
      <c r="G107" s="237" t="s">
        <v>1215</v>
      </c>
      <c r="H107" s="244" t="s">
        <v>304</v>
      </c>
      <c r="I107" s="239" t="s">
        <v>1156</v>
      </c>
      <c r="O107" s="226">
        <f t="shared" si="1"/>
        <v>106</v>
      </c>
      <c r="P107" s="229">
        <v>45754.0</v>
      </c>
      <c r="Q107" s="228" t="s">
        <v>107</v>
      </c>
      <c r="R107" s="228" t="s">
        <v>1077</v>
      </c>
      <c r="S107" s="228" t="s">
        <v>1143</v>
      </c>
      <c r="T107" s="230" t="str">
        <f>VLOOKUP(Q107,'Lịch kiểm kê 2025'!E:E,1,0)</f>
        <v>KFM_HCM_NBE - 222 Lê Văn Lương - MINI</v>
      </c>
    </row>
    <row r="108">
      <c r="A108" s="226" t="str">
        <f t="shared" si="2"/>
        <v>SSR</v>
      </c>
      <c r="B108" s="30" t="s">
        <v>1089</v>
      </c>
      <c r="C108" s="30" t="s">
        <v>376</v>
      </c>
      <c r="G108" s="246" t="s">
        <v>1216</v>
      </c>
      <c r="H108" s="244" t="s">
        <v>385</v>
      </c>
      <c r="I108" s="247" t="s">
        <v>1104</v>
      </c>
      <c r="O108" s="226">
        <f t="shared" si="1"/>
        <v>107</v>
      </c>
      <c r="P108" s="229">
        <v>45665.0</v>
      </c>
      <c r="Q108" s="228" t="s">
        <v>299</v>
      </c>
      <c r="R108" s="228" t="s">
        <v>1080</v>
      </c>
      <c r="S108" s="228" t="s">
        <v>1175</v>
      </c>
      <c r="T108" s="230" t="str">
        <f>VLOOKUP(Q108,'Lịch kiểm kê 2025'!E:E,1,0)</f>
        <v>KFM_HCM_TDU - 05 Đường D3 Phước Long - MINI</v>
      </c>
    </row>
    <row r="109">
      <c r="A109" s="226" t="s">
        <v>1216</v>
      </c>
      <c r="B109" s="30" t="s">
        <v>1104</v>
      </c>
      <c r="C109" s="30" t="s">
        <v>385</v>
      </c>
      <c r="G109" s="246" t="s">
        <v>981</v>
      </c>
      <c r="H109" s="244" t="s">
        <v>285</v>
      </c>
      <c r="I109" s="247" t="s">
        <v>1104</v>
      </c>
      <c r="O109" s="226">
        <f t="shared" si="1"/>
        <v>108</v>
      </c>
      <c r="P109" s="229">
        <v>45877.0</v>
      </c>
      <c r="Q109" s="228" t="s">
        <v>363</v>
      </c>
      <c r="R109" s="228" t="s">
        <v>1102</v>
      </c>
      <c r="S109" s="228" t="s">
        <v>1103</v>
      </c>
      <c r="T109" s="230" t="str">
        <f>VLOOKUP(Q109,'Lịch kiểm kê 2025'!E:E,1,0)</f>
        <v>KFM_HCM_PNH - T1-5 TMDV Orchard Garden - MINI</v>
      </c>
    </row>
    <row r="110">
      <c r="A110" s="226" t="s">
        <v>981</v>
      </c>
      <c r="B110" s="30" t="s">
        <v>1104</v>
      </c>
      <c r="C110" s="30" t="s">
        <v>285</v>
      </c>
      <c r="G110" s="246" t="s">
        <v>739</v>
      </c>
      <c r="H110" s="244" t="s">
        <v>287</v>
      </c>
      <c r="I110" s="247" t="s">
        <v>1107</v>
      </c>
      <c r="O110" s="226">
        <f t="shared" si="1"/>
        <v>109</v>
      </c>
      <c r="P110" s="231" t="s">
        <v>1217</v>
      </c>
      <c r="Q110" s="228" t="s">
        <v>366</v>
      </c>
      <c r="R110" s="228" t="s">
        <v>1080</v>
      </c>
      <c r="S110" s="228" t="s">
        <v>1165</v>
      </c>
      <c r="T110" s="230" t="str">
        <f>VLOOKUP(Q110,'Lịch kiểm kê 2025'!E:E,1,0)</f>
        <v>KFM_HCM_TDU - 38E Cây Keo - MINI</v>
      </c>
    </row>
    <row r="111">
      <c r="A111" s="226" t="s">
        <v>739</v>
      </c>
      <c r="B111" s="30" t="s">
        <v>1107</v>
      </c>
      <c r="C111" s="30" t="s">
        <v>287</v>
      </c>
      <c r="G111" s="246" t="s">
        <v>948</v>
      </c>
      <c r="H111" s="244" t="s">
        <v>388</v>
      </c>
      <c r="I111" s="247" t="s">
        <v>1107</v>
      </c>
      <c r="O111" s="226">
        <f t="shared" si="1"/>
        <v>110</v>
      </c>
      <c r="P111" s="231" t="s">
        <v>1217</v>
      </c>
      <c r="Q111" s="228" t="s">
        <v>372</v>
      </c>
      <c r="R111" s="228" t="s">
        <v>1080</v>
      </c>
      <c r="S111" s="228" t="s">
        <v>1088</v>
      </c>
      <c r="T111" s="230" t="str">
        <f>VLOOKUP(Q111,'Lịch kiểm kê 2025'!E:E,1,0)</f>
        <v>KFM_HCM_Q07 - 106 Trần Trọng Cung - MINI</v>
      </c>
    </row>
    <row r="112">
      <c r="A112" s="226" t="s">
        <v>948</v>
      </c>
      <c r="B112" s="30" t="s">
        <v>1107</v>
      </c>
      <c r="C112" s="30" t="s">
        <v>388</v>
      </c>
      <c r="G112" s="246" t="s">
        <v>870</v>
      </c>
      <c r="H112" s="244" t="s">
        <v>107</v>
      </c>
      <c r="I112" s="247" t="s">
        <v>1099</v>
      </c>
      <c r="O112" s="226">
        <f t="shared" si="1"/>
        <v>111</v>
      </c>
      <c r="P112" s="229">
        <v>45786.0</v>
      </c>
      <c r="Q112" s="228" t="s">
        <v>293</v>
      </c>
      <c r="R112" s="228" t="s">
        <v>1080</v>
      </c>
      <c r="S112" s="228" t="s">
        <v>1082</v>
      </c>
      <c r="T112" s="230" t="str">
        <f>VLOOKUP(Q112,'Lịch kiểm kê 2025'!E:E,1,0)</f>
        <v>KFM_HCM_PNH - 154 Nguyễn Trọng Tuyển - MINI</v>
      </c>
    </row>
    <row r="113">
      <c r="A113" s="226"/>
      <c r="G113" s="246" t="s">
        <v>871</v>
      </c>
      <c r="H113" s="244" t="s">
        <v>290</v>
      </c>
      <c r="I113" s="247" t="s">
        <v>1092</v>
      </c>
      <c r="O113" s="226">
        <f t="shared" si="1"/>
        <v>112</v>
      </c>
      <c r="P113" s="229">
        <v>46000.0</v>
      </c>
      <c r="Q113" s="228" t="s">
        <v>91</v>
      </c>
      <c r="R113" s="228" t="s">
        <v>1102</v>
      </c>
      <c r="S113" s="228" t="s">
        <v>1081</v>
      </c>
      <c r="T113" s="230" t="str">
        <f>VLOOKUP(Q113,'Lịch kiểm kê 2025'!E:E,1,0)</f>
        <v>KFM_HCM_Q10 - Jasmine 1 Hà Đô Centrosa - MART</v>
      </c>
    </row>
    <row r="114">
      <c r="A114" s="226"/>
      <c r="G114" s="246" t="s">
        <v>941</v>
      </c>
      <c r="H114" s="244" t="s">
        <v>297</v>
      </c>
      <c r="I114" s="247" t="s">
        <v>1107</v>
      </c>
      <c r="O114" s="226">
        <f t="shared" si="1"/>
        <v>113</v>
      </c>
      <c r="P114" s="229">
        <v>45726.0</v>
      </c>
      <c r="Q114" s="228" t="s">
        <v>338</v>
      </c>
      <c r="R114" s="228" t="s">
        <v>1080</v>
      </c>
      <c r="S114" s="243"/>
      <c r="T114" s="230" t="str">
        <f>VLOOKUP(Q114,'Lịch kiểm kê 2025'!E:E,1,0)</f>
        <v>KFM_HCM_Q08 - 320 Hưng Phú - MART</v>
      </c>
    </row>
    <row r="115">
      <c r="A115" s="226"/>
      <c r="B115" s="10"/>
      <c r="C115" s="10"/>
      <c r="G115" s="246" t="s">
        <v>946</v>
      </c>
      <c r="H115" s="244" t="s">
        <v>299</v>
      </c>
      <c r="I115" s="247" t="s">
        <v>1110</v>
      </c>
      <c r="O115" s="226">
        <f t="shared" si="1"/>
        <v>114</v>
      </c>
      <c r="P115" s="229">
        <v>45726.0</v>
      </c>
      <c r="Q115" s="228" t="s">
        <v>1218</v>
      </c>
      <c r="R115" s="228" t="s">
        <v>1080</v>
      </c>
      <c r="S115" s="228" t="s">
        <v>1095</v>
      </c>
      <c r="T115" s="230" t="str">
        <f>VLOOKUP(Q115,'Lịch kiểm kê 2025'!E:E,1,0)</f>
        <v>#N/A</v>
      </c>
    </row>
    <row r="116">
      <c r="A116" s="226"/>
      <c r="B116" s="10"/>
      <c r="C116" s="10"/>
      <c r="G116" s="246" t="s">
        <v>874</v>
      </c>
      <c r="H116" s="244" t="s">
        <v>363</v>
      </c>
      <c r="I116" s="247" t="s">
        <v>1113</v>
      </c>
      <c r="O116" s="226">
        <f t="shared" si="1"/>
        <v>115</v>
      </c>
      <c r="P116" s="229">
        <v>45726.0</v>
      </c>
      <c r="Q116" s="228" t="s">
        <v>110</v>
      </c>
      <c r="R116" s="228" t="s">
        <v>1080</v>
      </c>
      <c r="S116" s="228" t="s">
        <v>1167</v>
      </c>
      <c r="T116" s="230" t="str">
        <f>VLOOKUP(Q116,'Lịch kiểm kê 2025'!E:E,1,0)</f>
        <v>KFM_HCM_BTH - 216 Phan Văn Hân - MINI</v>
      </c>
    </row>
    <row r="117">
      <c r="A117" s="226"/>
      <c r="B117" s="10"/>
      <c r="C117" s="10"/>
      <c r="G117" s="246" t="s">
        <v>888</v>
      </c>
      <c r="H117" s="244" t="s">
        <v>372</v>
      </c>
      <c r="I117" s="247" t="s">
        <v>1092</v>
      </c>
      <c r="O117" s="226">
        <f t="shared" si="1"/>
        <v>116</v>
      </c>
      <c r="P117" s="229">
        <v>45940.0</v>
      </c>
      <c r="Q117" s="228" t="s">
        <v>69</v>
      </c>
      <c r="R117" s="228" t="s">
        <v>1077</v>
      </c>
      <c r="S117" s="228" t="s">
        <v>1098</v>
      </c>
      <c r="T117" s="230" t="str">
        <f>VLOOKUP(Q117,'Lịch kiểm kê 2025'!E:E,1,0)</f>
        <v>KFM_HCM_BTH - 484B Lê Quang Định - MINI</v>
      </c>
    </row>
    <row r="118">
      <c r="A118" s="226"/>
      <c r="B118" s="10"/>
      <c r="C118" s="10"/>
      <c r="G118" s="246" t="s">
        <v>960</v>
      </c>
      <c r="H118" s="244" t="s">
        <v>366</v>
      </c>
      <c r="I118" s="247" t="s">
        <v>1107</v>
      </c>
      <c r="O118" s="226">
        <f t="shared" si="1"/>
        <v>117</v>
      </c>
      <c r="P118" s="229">
        <v>45971.0</v>
      </c>
      <c r="Q118" s="228" t="s">
        <v>75</v>
      </c>
      <c r="R118" s="228" t="s">
        <v>1102</v>
      </c>
      <c r="S118" s="228" t="s">
        <v>1159</v>
      </c>
      <c r="T118" s="230" t="str">
        <f>VLOOKUP(Q118,'Lịch kiểm kê 2025'!E:E,1,0)</f>
        <v>KFM_HCM_TDU - BA-S03 New City - MINI</v>
      </c>
    </row>
    <row r="119">
      <c r="A119" s="226"/>
      <c r="B119" s="10"/>
      <c r="C119" s="10"/>
      <c r="G119" s="227"/>
      <c r="H119" s="227"/>
      <c r="I119" s="227"/>
      <c r="O119" s="226">
        <f t="shared" si="1"/>
        <v>118</v>
      </c>
      <c r="P119" s="231" t="s">
        <v>1219</v>
      </c>
      <c r="Q119" s="228" t="s">
        <v>103</v>
      </c>
      <c r="R119" s="228" t="s">
        <v>1102</v>
      </c>
      <c r="S119" s="228" t="s">
        <v>1172</v>
      </c>
      <c r="T119" s="230" t="str">
        <f>VLOOKUP(Q119,'Lịch kiểm kê 2025'!E:E,1,0)</f>
        <v>KFM_BDU_TAN - SH14 The Rivana - MINI</v>
      </c>
    </row>
    <row r="120">
      <c r="A120" s="226"/>
      <c r="B120" s="10"/>
      <c r="C120" s="10"/>
      <c r="G120" s="227"/>
      <c r="H120" s="227"/>
      <c r="I120" s="227"/>
    </row>
    <row r="121">
      <c r="A121" s="226"/>
      <c r="B121" s="10"/>
      <c r="C121" s="10"/>
      <c r="G121" s="227"/>
      <c r="H121" s="227"/>
      <c r="I121" s="227"/>
    </row>
    <row r="122">
      <c r="A122" s="226"/>
      <c r="B122" s="10"/>
      <c r="C122" s="10"/>
      <c r="G122" s="227"/>
      <c r="H122" s="227"/>
      <c r="I122" s="227"/>
    </row>
    <row r="123">
      <c r="A123" s="226"/>
      <c r="B123" s="10"/>
      <c r="C123" s="10"/>
      <c r="G123" s="227"/>
      <c r="H123" s="227"/>
      <c r="I123" s="227"/>
    </row>
    <row r="124">
      <c r="A124" s="226"/>
      <c r="B124" s="10"/>
      <c r="C124" s="10"/>
      <c r="G124" s="227"/>
      <c r="H124" s="227"/>
      <c r="I124" s="227"/>
    </row>
    <row r="125">
      <c r="A125" s="226"/>
      <c r="B125" s="10"/>
      <c r="C125" s="10"/>
      <c r="G125" s="227"/>
      <c r="H125" s="227"/>
      <c r="I125" s="227"/>
    </row>
    <row r="126">
      <c r="A126" s="226"/>
      <c r="B126" s="10"/>
      <c r="C126" s="10"/>
      <c r="G126" s="227"/>
      <c r="H126" s="227"/>
      <c r="I126" s="227"/>
    </row>
    <row r="127">
      <c r="A127" s="226"/>
      <c r="B127" s="10"/>
      <c r="C127" s="10"/>
      <c r="G127" s="227"/>
      <c r="H127" s="227"/>
      <c r="I127" s="227"/>
    </row>
    <row r="128">
      <c r="A128" s="226"/>
      <c r="B128" s="10"/>
      <c r="C128" s="10"/>
      <c r="G128" s="227"/>
      <c r="H128" s="227"/>
      <c r="I128" s="227"/>
    </row>
    <row r="129">
      <c r="A129" s="226"/>
      <c r="B129" s="10"/>
      <c r="C129" s="10"/>
      <c r="G129" s="227"/>
      <c r="H129" s="227"/>
      <c r="I129" s="227"/>
    </row>
    <row r="130">
      <c r="A130" s="226"/>
      <c r="B130" s="10"/>
      <c r="C130" s="10"/>
      <c r="G130" s="227"/>
      <c r="H130" s="227"/>
      <c r="I130" s="227"/>
    </row>
    <row r="131">
      <c r="A131" s="226"/>
      <c r="B131" s="10"/>
      <c r="C131" s="10"/>
      <c r="G131" s="227"/>
      <c r="H131" s="227"/>
      <c r="I131" s="227"/>
    </row>
    <row r="132">
      <c r="A132" s="226"/>
      <c r="B132" s="10"/>
      <c r="C132" s="10"/>
      <c r="G132" s="227"/>
      <c r="H132" s="227"/>
      <c r="I132" s="227"/>
    </row>
    <row r="133">
      <c r="A133" s="226"/>
      <c r="B133" s="10"/>
      <c r="C133" s="10"/>
      <c r="G133" s="227"/>
      <c r="H133" s="227"/>
      <c r="I133" s="227"/>
    </row>
    <row r="134">
      <c r="A134" s="226"/>
      <c r="B134" s="10"/>
      <c r="C134" s="10"/>
      <c r="G134" s="227"/>
      <c r="H134" s="227"/>
      <c r="I134" s="227"/>
    </row>
    <row r="135">
      <c r="A135" s="226"/>
      <c r="B135" s="10"/>
      <c r="C135" s="10"/>
      <c r="G135" s="227"/>
      <c r="H135" s="227"/>
      <c r="I135" s="227"/>
    </row>
    <row r="136">
      <c r="A136" s="226"/>
      <c r="B136" s="10"/>
      <c r="C136" s="10"/>
      <c r="G136" s="227"/>
      <c r="H136" s="227"/>
      <c r="I136" s="227"/>
    </row>
    <row r="137">
      <c r="A137" s="226"/>
      <c r="B137" s="10"/>
      <c r="C137" s="10"/>
      <c r="G137" s="227"/>
      <c r="H137" s="227"/>
      <c r="I137" s="227"/>
    </row>
    <row r="138">
      <c r="A138" s="226"/>
      <c r="B138" s="10"/>
      <c r="C138" s="10"/>
      <c r="G138" s="227"/>
      <c r="H138" s="227"/>
      <c r="I138" s="227"/>
    </row>
    <row r="139">
      <c r="A139" s="226"/>
      <c r="B139" s="10"/>
      <c r="C139" s="10"/>
      <c r="G139" s="227"/>
      <c r="H139" s="227"/>
      <c r="I139" s="227"/>
    </row>
    <row r="140">
      <c r="A140" s="226"/>
      <c r="B140" s="10"/>
      <c r="C140" s="10"/>
      <c r="G140" s="227"/>
      <c r="H140" s="227"/>
      <c r="I140" s="227"/>
    </row>
    <row r="141">
      <c r="A141" s="226"/>
      <c r="B141" s="10"/>
      <c r="C141" s="10"/>
      <c r="G141" s="227"/>
      <c r="H141" s="227"/>
      <c r="I141" s="227"/>
    </row>
    <row r="142">
      <c r="A142" s="226"/>
      <c r="B142" s="10"/>
      <c r="C142" s="10"/>
      <c r="G142" s="227"/>
      <c r="H142" s="227"/>
      <c r="I142" s="227"/>
    </row>
    <row r="143">
      <c r="A143" s="226"/>
      <c r="B143" s="10"/>
      <c r="C143" s="10"/>
      <c r="G143" s="227"/>
      <c r="H143" s="227"/>
      <c r="I143" s="227"/>
    </row>
    <row r="144">
      <c r="A144" s="226"/>
      <c r="B144" s="10"/>
      <c r="C144" s="10"/>
      <c r="G144" s="227"/>
      <c r="H144" s="227"/>
      <c r="I144" s="227"/>
    </row>
    <row r="145">
      <c r="A145" s="226"/>
      <c r="B145" s="10"/>
      <c r="C145" s="10"/>
      <c r="G145" s="227"/>
      <c r="H145" s="227"/>
      <c r="I145" s="227"/>
    </row>
    <row r="146">
      <c r="A146" s="226"/>
      <c r="B146" s="10"/>
      <c r="C146" s="10"/>
      <c r="G146" s="227"/>
      <c r="H146" s="227"/>
      <c r="I146" s="227"/>
    </row>
    <row r="147">
      <c r="A147" s="226"/>
      <c r="B147" s="10"/>
      <c r="C147" s="10"/>
      <c r="G147" s="227"/>
      <c r="H147" s="227"/>
      <c r="I147" s="227"/>
    </row>
    <row r="148">
      <c r="A148" s="226"/>
      <c r="B148" s="10"/>
      <c r="C148" s="10"/>
      <c r="G148" s="227"/>
      <c r="H148" s="227"/>
      <c r="I148" s="227"/>
    </row>
    <row r="149">
      <c r="A149" s="226"/>
      <c r="B149" s="10"/>
      <c r="C149" s="10"/>
      <c r="G149" s="227"/>
      <c r="H149" s="227"/>
      <c r="I149" s="227"/>
    </row>
    <row r="150">
      <c r="A150" s="226"/>
      <c r="B150" s="10"/>
      <c r="C150" s="10"/>
      <c r="G150" s="227"/>
      <c r="H150" s="227"/>
      <c r="I150" s="227"/>
    </row>
    <row r="151">
      <c r="A151" s="226"/>
      <c r="B151" s="10"/>
      <c r="C151" s="10"/>
      <c r="G151" s="227"/>
      <c r="H151" s="227"/>
      <c r="I151" s="227"/>
    </row>
    <row r="152">
      <c r="A152" s="226"/>
      <c r="B152" s="10"/>
      <c r="C152" s="10"/>
      <c r="G152" s="227"/>
      <c r="H152" s="227"/>
      <c r="I152" s="227"/>
    </row>
    <row r="153">
      <c r="A153" s="226"/>
      <c r="B153" s="10"/>
      <c r="C153" s="10"/>
      <c r="G153" s="227"/>
      <c r="H153" s="227"/>
      <c r="I153" s="227"/>
    </row>
    <row r="154">
      <c r="A154" s="226"/>
      <c r="B154" s="10"/>
      <c r="C154" s="10"/>
      <c r="G154" s="227"/>
      <c r="H154" s="227"/>
      <c r="I154" s="227"/>
    </row>
    <row r="155">
      <c r="A155" s="226"/>
      <c r="B155" s="10"/>
      <c r="C155" s="10"/>
      <c r="G155" s="227"/>
      <c r="H155" s="227"/>
      <c r="I155" s="227"/>
    </row>
    <row r="156">
      <c r="A156" s="226"/>
      <c r="B156" s="10"/>
      <c r="C156" s="10"/>
      <c r="G156" s="227"/>
      <c r="H156" s="227"/>
      <c r="I156" s="227"/>
    </row>
    <row r="157">
      <c r="A157" s="226"/>
      <c r="B157" s="10"/>
      <c r="C157" s="10"/>
      <c r="G157" s="227"/>
      <c r="H157" s="227"/>
      <c r="I157" s="227"/>
    </row>
    <row r="158">
      <c r="A158" s="226"/>
      <c r="B158" s="10"/>
      <c r="C158" s="10"/>
      <c r="G158" s="227"/>
      <c r="H158" s="227"/>
      <c r="I158" s="227"/>
    </row>
    <row r="159">
      <c r="A159" s="226"/>
      <c r="B159" s="10"/>
      <c r="C159" s="10"/>
      <c r="G159" s="227"/>
      <c r="H159" s="227"/>
      <c r="I159" s="227"/>
    </row>
    <row r="160">
      <c r="A160" s="226"/>
      <c r="B160" s="10"/>
      <c r="C160" s="10"/>
      <c r="G160" s="227"/>
      <c r="H160" s="227"/>
      <c r="I160" s="227"/>
    </row>
    <row r="161">
      <c r="A161" s="226"/>
      <c r="B161" s="10"/>
      <c r="C161" s="10"/>
      <c r="G161" s="227"/>
      <c r="H161" s="227"/>
      <c r="I161" s="227"/>
    </row>
    <row r="162">
      <c r="A162" s="226"/>
      <c r="B162" s="10"/>
      <c r="C162" s="10"/>
      <c r="G162" s="227"/>
      <c r="H162" s="227"/>
      <c r="I162" s="227"/>
    </row>
    <row r="163">
      <c r="A163" s="226"/>
      <c r="B163" s="10"/>
      <c r="C163" s="10"/>
      <c r="G163" s="227"/>
      <c r="H163" s="227"/>
      <c r="I163" s="227"/>
    </row>
    <row r="164">
      <c r="A164" s="226"/>
      <c r="B164" s="10"/>
      <c r="C164" s="10"/>
      <c r="G164" s="227"/>
      <c r="H164" s="227"/>
      <c r="I164" s="227"/>
    </row>
    <row r="165">
      <c r="A165" s="226"/>
      <c r="B165" s="10"/>
      <c r="C165" s="10"/>
      <c r="G165" s="227"/>
      <c r="H165" s="227"/>
      <c r="I165" s="227"/>
    </row>
    <row r="166">
      <c r="A166" s="226"/>
      <c r="B166" s="10"/>
      <c r="C166" s="10"/>
      <c r="G166" s="227"/>
      <c r="H166" s="227"/>
      <c r="I166" s="227"/>
    </row>
    <row r="167">
      <c r="A167" s="226"/>
      <c r="B167" s="10"/>
      <c r="C167" s="10"/>
      <c r="G167" s="227"/>
      <c r="H167" s="227"/>
      <c r="I167" s="227"/>
    </row>
    <row r="168">
      <c r="A168" s="226"/>
      <c r="B168" s="10"/>
      <c r="C168" s="10"/>
      <c r="G168" s="227"/>
      <c r="H168" s="227"/>
      <c r="I168" s="227"/>
    </row>
    <row r="169">
      <c r="A169" s="226"/>
      <c r="B169" s="10"/>
      <c r="C169" s="10"/>
      <c r="G169" s="227"/>
      <c r="H169" s="227"/>
      <c r="I169" s="227"/>
    </row>
    <row r="170">
      <c r="A170" s="226"/>
      <c r="B170" s="10"/>
      <c r="C170" s="10"/>
      <c r="G170" s="227"/>
      <c r="H170" s="227"/>
      <c r="I170" s="227"/>
    </row>
    <row r="171">
      <c r="A171" s="226"/>
      <c r="B171" s="10"/>
      <c r="C171" s="10"/>
      <c r="G171" s="227"/>
      <c r="H171" s="227"/>
      <c r="I171" s="227"/>
    </row>
    <row r="172">
      <c r="A172" s="226"/>
      <c r="B172" s="10"/>
      <c r="C172" s="10"/>
      <c r="G172" s="227"/>
      <c r="H172" s="227"/>
      <c r="I172" s="227"/>
    </row>
    <row r="173">
      <c r="A173" s="226"/>
      <c r="B173" s="10"/>
      <c r="C173" s="10"/>
      <c r="G173" s="227"/>
      <c r="H173" s="227"/>
      <c r="I173" s="227"/>
    </row>
    <row r="174">
      <c r="A174" s="226"/>
      <c r="B174" s="10"/>
      <c r="C174" s="10"/>
      <c r="G174" s="227"/>
      <c r="H174" s="227"/>
      <c r="I174" s="227"/>
    </row>
    <row r="175">
      <c r="A175" s="226"/>
      <c r="B175" s="10"/>
      <c r="C175" s="10"/>
      <c r="G175" s="227"/>
      <c r="H175" s="227"/>
      <c r="I175" s="227"/>
    </row>
    <row r="176">
      <c r="A176" s="226"/>
      <c r="B176" s="10"/>
      <c r="C176" s="10"/>
      <c r="G176" s="227"/>
      <c r="H176" s="227"/>
      <c r="I176" s="227"/>
    </row>
    <row r="177">
      <c r="A177" s="226"/>
      <c r="B177" s="10"/>
      <c r="C177" s="10"/>
      <c r="G177" s="227"/>
      <c r="H177" s="227"/>
      <c r="I177" s="227"/>
    </row>
    <row r="178">
      <c r="A178" s="226"/>
      <c r="B178" s="10"/>
      <c r="C178" s="10"/>
      <c r="G178" s="227"/>
      <c r="H178" s="227"/>
      <c r="I178" s="227"/>
    </row>
    <row r="179">
      <c r="A179" s="226"/>
      <c r="B179" s="10"/>
      <c r="C179" s="10"/>
      <c r="G179" s="227"/>
      <c r="H179" s="227"/>
      <c r="I179" s="227"/>
    </row>
    <row r="180">
      <c r="A180" s="226"/>
      <c r="B180" s="10"/>
      <c r="C180" s="10"/>
      <c r="G180" s="227"/>
      <c r="H180" s="227"/>
      <c r="I180" s="227"/>
    </row>
    <row r="181">
      <c r="A181" s="226"/>
      <c r="B181" s="10"/>
      <c r="C181" s="10"/>
      <c r="G181" s="227"/>
      <c r="H181" s="227"/>
      <c r="I181" s="227"/>
    </row>
    <row r="182">
      <c r="A182" s="226"/>
      <c r="B182" s="10"/>
      <c r="C182" s="10"/>
      <c r="G182" s="227"/>
      <c r="H182" s="227"/>
      <c r="I182" s="227"/>
    </row>
    <row r="183">
      <c r="A183" s="226"/>
      <c r="B183" s="10"/>
      <c r="C183" s="10"/>
      <c r="G183" s="227"/>
      <c r="H183" s="227"/>
      <c r="I183" s="227"/>
    </row>
    <row r="184">
      <c r="A184" s="226"/>
      <c r="B184" s="10"/>
      <c r="C184" s="10"/>
      <c r="G184" s="227"/>
      <c r="H184" s="227"/>
      <c r="I184" s="227"/>
    </row>
    <row r="185">
      <c r="A185" s="226"/>
      <c r="B185" s="10"/>
      <c r="C185" s="10"/>
      <c r="G185" s="227"/>
      <c r="H185" s="227"/>
      <c r="I185" s="227"/>
    </row>
    <row r="186">
      <c r="A186" s="226"/>
      <c r="B186" s="10"/>
      <c r="C186" s="10"/>
      <c r="G186" s="227"/>
      <c r="H186" s="227"/>
      <c r="I186" s="227"/>
    </row>
    <row r="187">
      <c r="A187" s="226"/>
      <c r="B187" s="10"/>
      <c r="C187" s="10"/>
      <c r="G187" s="227"/>
      <c r="H187" s="227"/>
      <c r="I187" s="227"/>
    </row>
    <row r="188">
      <c r="A188" s="226"/>
      <c r="B188" s="10"/>
      <c r="C188" s="10"/>
      <c r="G188" s="227"/>
      <c r="H188" s="227"/>
      <c r="I188" s="227"/>
    </row>
    <row r="189">
      <c r="A189" s="226"/>
      <c r="B189" s="10"/>
      <c r="C189" s="10"/>
      <c r="G189" s="227"/>
      <c r="H189" s="227"/>
      <c r="I189" s="227"/>
    </row>
    <row r="190">
      <c r="A190" s="226"/>
      <c r="B190" s="10"/>
      <c r="C190" s="10"/>
      <c r="G190" s="227"/>
      <c r="H190" s="227"/>
      <c r="I190" s="227"/>
    </row>
    <row r="191">
      <c r="A191" s="226"/>
      <c r="B191" s="10"/>
      <c r="C191" s="10"/>
      <c r="G191" s="227"/>
      <c r="H191" s="227"/>
      <c r="I191" s="227"/>
    </row>
    <row r="192">
      <c r="A192" s="226"/>
      <c r="B192" s="10"/>
      <c r="C192" s="10"/>
      <c r="G192" s="227"/>
      <c r="H192" s="227"/>
      <c r="I192" s="227"/>
    </row>
    <row r="193">
      <c r="A193" s="226"/>
      <c r="B193" s="10"/>
      <c r="C193" s="10"/>
      <c r="G193" s="227"/>
      <c r="H193" s="227"/>
      <c r="I193" s="227"/>
    </row>
    <row r="194">
      <c r="A194" s="226"/>
      <c r="B194" s="10"/>
      <c r="C194" s="10"/>
      <c r="G194" s="227"/>
      <c r="H194" s="227"/>
      <c r="I194" s="227"/>
    </row>
    <row r="195">
      <c r="A195" s="226"/>
      <c r="B195" s="10"/>
      <c r="C195" s="10"/>
      <c r="G195" s="227"/>
      <c r="H195" s="227"/>
      <c r="I195" s="227"/>
    </row>
    <row r="196">
      <c r="A196" s="226"/>
      <c r="B196" s="10"/>
      <c r="C196" s="10"/>
      <c r="G196" s="227"/>
      <c r="H196" s="227"/>
      <c r="I196" s="227"/>
    </row>
    <row r="197">
      <c r="A197" s="226"/>
      <c r="B197" s="10"/>
      <c r="C197" s="10"/>
      <c r="G197" s="227"/>
      <c r="H197" s="227"/>
      <c r="I197" s="227"/>
    </row>
    <row r="198">
      <c r="A198" s="226"/>
      <c r="B198" s="10"/>
      <c r="C198" s="10"/>
      <c r="G198" s="227"/>
      <c r="H198" s="227"/>
      <c r="I198" s="227"/>
    </row>
    <row r="199">
      <c r="A199" s="226"/>
      <c r="B199" s="10"/>
      <c r="C199" s="10"/>
      <c r="G199" s="227"/>
      <c r="H199" s="227"/>
      <c r="I199" s="227"/>
    </row>
    <row r="200">
      <c r="A200" s="226"/>
      <c r="B200" s="10"/>
      <c r="C200" s="10"/>
      <c r="G200" s="227"/>
      <c r="H200" s="227"/>
      <c r="I200" s="227"/>
    </row>
    <row r="201">
      <c r="A201" s="226"/>
      <c r="B201" s="10"/>
      <c r="C201" s="10"/>
      <c r="G201" s="227"/>
      <c r="H201" s="227"/>
      <c r="I201" s="227"/>
    </row>
    <row r="202">
      <c r="A202" s="226"/>
      <c r="B202" s="10"/>
      <c r="C202" s="10"/>
      <c r="G202" s="227"/>
      <c r="H202" s="227"/>
      <c r="I202" s="227"/>
    </row>
    <row r="203">
      <c r="A203" s="226"/>
      <c r="B203" s="10"/>
      <c r="C203" s="10"/>
      <c r="G203" s="227"/>
      <c r="H203" s="227"/>
      <c r="I203" s="227"/>
    </row>
    <row r="204">
      <c r="A204" s="226"/>
      <c r="B204" s="10"/>
      <c r="C204" s="10"/>
      <c r="G204" s="227"/>
      <c r="H204" s="227"/>
      <c r="I204" s="227"/>
    </row>
    <row r="205">
      <c r="A205" s="226"/>
      <c r="B205" s="10"/>
      <c r="C205" s="10"/>
      <c r="G205" s="227"/>
      <c r="H205" s="227"/>
      <c r="I205" s="227"/>
    </row>
    <row r="206">
      <c r="A206" s="226"/>
      <c r="B206" s="10"/>
      <c r="C206" s="10"/>
      <c r="G206" s="227"/>
      <c r="H206" s="227"/>
      <c r="I206" s="227"/>
    </row>
    <row r="207">
      <c r="A207" s="226"/>
      <c r="B207" s="10"/>
      <c r="C207" s="10"/>
      <c r="G207" s="227"/>
      <c r="H207" s="227"/>
      <c r="I207" s="227"/>
    </row>
    <row r="208">
      <c r="A208" s="226"/>
      <c r="B208" s="10"/>
      <c r="C208" s="10"/>
      <c r="G208" s="227"/>
      <c r="H208" s="227"/>
      <c r="I208" s="227"/>
    </row>
    <row r="209">
      <c r="A209" s="226"/>
      <c r="B209" s="10"/>
      <c r="C209" s="10"/>
      <c r="G209" s="227"/>
      <c r="H209" s="227"/>
      <c r="I209" s="227"/>
    </row>
    <row r="210">
      <c r="A210" s="226"/>
      <c r="B210" s="10"/>
      <c r="C210" s="10"/>
      <c r="G210" s="227"/>
      <c r="H210" s="227"/>
      <c r="I210" s="227"/>
    </row>
    <row r="211">
      <c r="A211" s="226"/>
      <c r="B211" s="10"/>
      <c r="C211" s="10"/>
      <c r="G211" s="227"/>
      <c r="H211" s="227"/>
      <c r="I211" s="227"/>
    </row>
    <row r="212">
      <c r="A212" s="226"/>
      <c r="B212" s="10"/>
      <c r="C212" s="10"/>
      <c r="G212" s="227"/>
      <c r="H212" s="227"/>
      <c r="I212" s="227"/>
    </row>
    <row r="213">
      <c r="A213" s="226"/>
      <c r="B213" s="10"/>
      <c r="C213" s="10"/>
      <c r="G213" s="227"/>
      <c r="H213" s="227"/>
      <c r="I213" s="227"/>
    </row>
    <row r="214">
      <c r="A214" s="226"/>
      <c r="B214" s="10"/>
      <c r="C214" s="10"/>
      <c r="G214" s="227"/>
      <c r="H214" s="227"/>
      <c r="I214" s="227"/>
    </row>
    <row r="215">
      <c r="A215" s="226"/>
      <c r="B215" s="10"/>
      <c r="C215" s="10"/>
      <c r="G215" s="227"/>
      <c r="H215" s="227"/>
      <c r="I215" s="227"/>
    </row>
    <row r="216">
      <c r="A216" s="226"/>
      <c r="B216" s="10"/>
      <c r="C216" s="10"/>
      <c r="G216" s="227"/>
      <c r="H216" s="227"/>
      <c r="I216" s="227"/>
    </row>
    <row r="217">
      <c r="A217" s="226"/>
      <c r="B217" s="10"/>
      <c r="C217" s="10"/>
      <c r="G217" s="227"/>
      <c r="H217" s="227"/>
      <c r="I217" s="227"/>
    </row>
    <row r="218">
      <c r="A218" s="226"/>
      <c r="B218" s="10"/>
      <c r="C218" s="10"/>
      <c r="G218" s="227"/>
      <c r="H218" s="227"/>
      <c r="I218" s="227"/>
    </row>
    <row r="219">
      <c r="A219" s="226"/>
      <c r="B219" s="10"/>
      <c r="C219" s="10"/>
      <c r="G219" s="227"/>
      <c r="H219" s="227"/>
      <c r="I219" s="227"/>
    </row>
    <row r="220">
      <c r="A220" s="226"/>
      <c r="B220" s="10"/>
      <c r="C220" s="10"/>
      <c r="G220" s="227"/>
      <c r="H220" s="227"/>
      <c r="I220" s="227"/>
    </row>
    <row r="221">
      <c r="A221" s="226"/>
      <c r="B221" s="10"/>
      <c r="C221" s="10"/>
      <c r="G221" s="227"/>
      <c r="H221" s="227"/>
      <c r="I221" s="227"/>
    </row>
    <row r="222">
      <c r="A222" s="226"/>
      <c r="B222" s="10"/>
      <c r="C222" s="10"/>
      <c r="G222" s="227"/>
      <c r="H222" s="227"/>
      <c r="I222" s="227"/>
    </row>
    <row r="223">
      <c r="A223" s="226"/>
      <c r="B223" s="10"/>
      <c r="C223" s="10"/>
      <c r="G223" s="227"/>
      <c r="H223" s="227"/>
      <c r="I223" s="227"/>
    </row>
    <row r="224">
      <c r="A224" s="226"/>
      <c r="B224" s="10"/>
      <c r="C224" s="10"/>
      <c r="G224" s="227"/>
      <c r="H224" s="227"/>
      <c r="I224" s="227"/>
    </row>
    <row r="225">
      <c r="A225" s="226"/>
      <c r="B225" s="10"/>
      <c r="C225" s="10"/>
      <c r="G225" s="227"/>
      <c r="H225" s="227"/>
      <c r="I225" s="227"/>
    </row>
    <row r="226">
      <c r="A226" s="226"/>
      <c r="B226" s="10"/>
      <c r="C226" s="10"/>
      <c r="G226" s="227"/>
      <c r="H226" s="227"/>
      <c r="I226" s="227"/>
    </row>
    <row r="227">
      <c r="A227" s="226"/>
      <c r="B227" s="10"/>
      <c r="C227" s="10"/>
      <c r="G227" s="227"/>
      <c r="H227" s="227"/>
      <c r="I227" s="227"/>
    </row>
    <row r="228">
      <c r="A228" s="226"/>
      <c r="B228" s="10"/>
      <c r="C228" s="10"/>
      <c r="G228" s="227"/>
      <c r="H228" s="227"/>
      <c r="I228" s="227"/>
    </row>
    <row r="229">
      <c r="A229" s="226"/>
      <c r="B229" s="10"/>
      <c r="C229" s="10"/>
      <c r="G229" s="227"/>
      <c r="H229" s="227"/>
      <c r="I229" s="227"/>
    </row>
    <row r="230">
      <c r="A230" s="226"/>
      <c r="B230" s="10"/>
      <c r="C230" s="10"/>
      <c r="G230" s="227"/>
      <c r="H230" s="227"/>
      <c r="I230" s="227"/>
    </row>
    <row r="231">
      <c r="A231" s="226"/>
      <c r="B231" s="10"/>
      <c r="C231" s="10"/>
      <c r="G231" s="227"/>
      <c r="H231" s="227"/>
      <c r="I231" s="227"/>
    </row>
    <row r="232">
      <c r="A232" s="226"/>
      <c r="B232" s="10"/>
      <c r="C232" s="10"/>
      <c r="G232" s="227"/>
      <c r="H232" s="227"/>
      <c r="I232" s="227"/>
    </row>
    <row r="233">
      <c r="A233" s="226"/>
      <c r="B233" s="10"/>
      <c r="C233" s="10"/>
      <c r="G233" s="227"/>
      <c r="H233" s="227"/>
      <c r="I233" s="227"/>
    </row>
    <row r="234">
      <c r="A234" s="226"/>
      <c r="B234" s="10"/>
      <c r="C234" s="10"/>
      <c r="G234" s="227"/>
      <c r="H234" s="227"/>
      <c r="I234" s="227"/>
    </row>
    <row r="235">
      <c r="A235" s="226"/>
      <c r="B235" s="10"/>
      <c r="C235" s="10"/>
      <c r="G235" s="227"/>
      <c r="H235" s="227"/>
      <c r="I235" s="227"/>
    </row>
    <row r="236">
      <c r="A236" s="226"/>
      <c r="B236" s="10"/>
      <c r="C236" s="10"/>
      <c r="G236" s="227"/>
      <c r="H236" s="227"/>
      <c r="I236" s="227"/>
    </row>
    <row r="237">
      <c r="A237" s="226"/>
      <c r="B237" s="10"/>
      <c r="C237" s="10"/>
      <c r="G237" s="227"/>
      <c r="H237" s="227"/>
      <c r="I237" s="227"/>
    </row>
    <row r="238">
      <c r="A238" s="226"/>
      <c r="B238" s="10"/>
      <c r="C238" s="10"/>
      <c r="G238" s="227"/>
      <c r="H238" s="227"/>
      <c r="I238" s="227"/>
    </row>
    <row r="239">
      <c r="A239" s="226"/>
      <c r="B239" s="10"/>
      <c r="C239" s="10"/>
      <c r="G239" s="227"/>
      <c r="H239" s="227"/>
      <c r="I239" s="227"/>
    </row>
    <row r="240">
      <c r="A240" s="226"/>
      <c r="B240" s="10"/>
      <c r="C240" s="10"/>
      <c r="G240" s="227"/>
      <c r="H240" s="227"/>
      <c r="I240" s="227"/>
    </row>
    <row r="241">
      <c r="A241" s="226"/>
      <c r="B241" s="10"/>
      <c r="C241" s="10"/>
      <c r="G241" s="227"/>
      <c r="H241" s="227"/>
      <c r="I241" s="227"/>
    </row>
    <row r="242">
      <c r="A242" s="226"/>
      <c r="B242" s="10"/>
      <c r="C242" s="10"/>
      <c r="G242" s="227"/>
      <c r="H242" s="227"/>
      <c r="I242" s="227"/>
    </row>
    <row r="243">
      <c r="A243" s="226"/>
      <c r="B243" s="10"/>
      <c r="C243" s="10"/>
      <c r="G243" s="227"/>
      <c r="H243" s="227"/>
      <c r="I243" s="227"/>
    </row>
    <row r="244">
      <c r="A244" s="226"/>
      <c r="B244" s="10"/>
      <c r="C244" s="10"/>
      <c r="G244" s="227"/>
      <c r="H244" s="227"/>
      <c r="I244" s="227"/>
    </row>
    <row r="245">
      <c r="A245" s="226"/>
      <c r="B245" s="10"/>
      <c r="C245" s="10"/>
      <c r="G245" s="227"/>
      <c r="H245" s="227"/>
      <c r="I245" s="227"/>
    </row>
    <row r="246">
      <c r="A246" s="226"/>
      <c r="B246" s="10"/>
      <c r="C246" s="10"/>
      <c r="G246" s="227"/>
      <c r="H246" s="227"/>
      <c r="I246" s="227"/>
    </row>
    <row r="247">
      <c r="A247" s="226"/>
      <c r="B247" s="10"/>
      <c r="C247" s="10"/>
      <c r="G247" s="227"/>
      <c r="H247" s="227"/>
      <c r="I247" s="227"/>
    </row>
    <row r="248">
      <c r="A248" s="226"/>
      <c r="B248" s="10"/>
      <c r="C248" s="10"/>
      <c r="G248" s="227"/>
      <c r="H248" s="227"/>
      <c r="I248" s="227"/>
    </row>
    <row r="249">
      <c r="A249" s="226"/>
      <c r="B249" s="10"/>
      <c r="C249" s="10"/>
      <c r="G249" s="227"/>
      <c r="H249" s="227"/>
      <c r="I249" s="227"/>
    </row>
    <row r="250">
      <c r="A250" s="226"/>
      <c r="B250" s="10"/>
      <c r="C250" s="10"/>
      <c r="G250" s="227"/>
      <c r="H250" s="227"/>
      <c r="I250" s="227"/>
    </row>
    <row r="251">
      <c r="A251" s="226"/>
      <c r="B251" s="10"/>
      <c r="C251" s="10"/>
      <c r="G251" s="227"/>
      <c r="H251" s="227"/>
      <c r="I251" s="227"/>
    </row>
    <row r="252">
      <c r="A252" s="226"/>
      <c r="B252" s="10"/>
      <c r="C252" s="10"/>
      <c r="G252" s="227"/>
      <c r="H252" s="227"/>
      <c r="I252" s="227"/>
    </row>
    <row r="253">
      <c r="A253" s="226"/>
      <c r="B253" s="10"/>
      <c r="C253" s="10"/>
      <c r="G253" s="227"/>
      <c r="H253" s="227"/>
      <c r="I253" s="227"/>
    </row>
    <row r="254">
      <c r="A254" s="226"/>
      <c r="B254" s="10"/>
      <c r="C254" s="10"/>
      <c r="G254" s="227"/>
      <c r="H254" s="227"/>
      <c r="I254" s="227"/>
    </row>
    <row r="255">
      <c r="A255" s="226"/>
      <c r="B255" s="10"/>
      <c r="C255" s="10"/>
      <c r="G255" s="227"/>
      <c r="H255" s="227"/>
      <c r="I255" s="227"/>
    </row>
    <row r="256">
      <c r="A256" s="226"/>
      <c r="B256" s="10"/>
      <c r="C256" s="10"/>
      <c r="G256" s="227"/>
      <c r="H256" s="227"/>
      <c r="I256" s="227"/>
    </row>
    <row r="257">
      <c r="A257" s="226"/>
      <c r="B257" s="10"/>
      <c r="C257" s="10"/>
      <c r="G257" s="227"/>
      <c r="H257" s="227"/>
      <c r="I257" s="227"/>
    </row>
    <row r="258">
      <c r="A258" s="226"/>
      <c r="B258" s="10"/>
      <c r="C258" s="10"/>
      <c r="G258" s="227"/>
      <c r="H258" s="227"/>
      <c r="I258" s="227"/>
    </row>
    <row r="259">
      <c r="A259" s="226"/>
      <c r="B259" s="10"/>
      <c r="C259" s="10"/>
      <c r="G259" s="227"/>
      <c r="H259" s="227"/>
      <c r="I259" s="227"/>
    </row>
    <row r="260">
      <c r="A260" s="226"/>
      <c r="B260" s="10"/>
      <c r="C260" s="10"/>
      <c r="G260" s="227"/>
      <c r="H260" s="227"/>
      <c r="I260" s="227"/>
    </row>
    <row r="261">
      <c r="A261" s="226"/>
      <c r="B261" s="10"/>
      <c r="C261" s="10"/>
      <c r="G261" s="227"/>
      <c r="H261" s="227"/>
      <c r="I261" s="227"/>
    </row>
    <row r="262">
      <c r="A262" s="226"/>
      <c r="B262" s="10"/>
      <c r="C262" s="10"/>
      <c r="G262" s="227"/>
      <c r="H262" s="227"/>
      <c r="I262" s="227"/>
    </row>
    <row r="263">
      <c r="A263" s="226"/>
      <c r="B263" s="10"/>
      <c r="C263" s="10"/>
      <c r="G263" s="227"/>
      <c r="H263" s="227"/>
      <c r="I263" s="227"/>
    </row>
    <row r="264">
      <c r="A264" s="226"/>
      <c r="B264" s="10"/>
      <c r="C264" s="10"/>
      <c r="G264" s="227"/>
      <c r="H264" s="227"/>
      <c r="I264" s="227"/>
    </row>
    <row r="265">
      <c r="A265" s="226"/>
      <c r="B265" s="10"/>
      <c r="C265" s="10"/>
      <c r="G265" s="227"/>
      <c r="H265" s="227"/>
      <c r="I265" s="227"/>
    </row>
    <row r="266">
      <c r="A266" s="226"/>
      <c r="B266" s="10"/>
      <c r="C266" s="10"/>
      <c r="G266" s="227"/>
      <c r="H266" s="227"/>
      <c r="I266" s="227"/>
    </row>
    <row r="267">
      <c r="A267" s="226"/>
      <c r="B267" s="10"/>
      <c r="C267" s="10"/>
      <c r="G267" s="227"/>
      <c r="H267" s="227"/>
      <c r="I267" s="227"/>
    </row>
    <row r="268">
      <c r="A268" s="226"/>
      <c r="B268" s="10"/>
      <c r="C268" s="10"/>
      <c r="G268" s="227"/>
      <c r="H268" s="227"/>
      <c r="I268" s="227"/>
    </row>
    <row r="269">
      <c r="A269" s="226"/>
      <c r="B269" s="10"/>
      <c r="C269" s="10"/>
      <c r="G269" s="227"/>
      <c r="H269" s="227"/>
      <c r="I269" s="227"/>
    </row>
    <row r="270">
      <c r="A270" s="226"/>
      <c r="B270" s="10"/>
      <c r="C270" s="10"/>
      <c r="G270" s="227"/>
      <c r="H270" s="227"/>
      <c r="I270" s="227"/>
    </row>
    <row r="271">
      <c r="A271" s="226"/>
      <c r="B271" s="10"/>
      <c r="C271" s="10"/>
      <c r="G271" s="227"/>
      <c r="H271" s="227"/>
      <c r="I271" s="227"/>
    </row>
    <row r="272">
      <c r="A272" s="226"/>
      <c r="B272" s="10"/>
      <c r="C272" s="10"/>
      <c r="G272" s="227"/>
      <c r="H272" s="227"/>
      <c r="I272" s="227"/>
    </row>
    <row r="273">
      <c r="A273" s="226"/>
      <c r="B273" s="10"/>
      <c r="C273" s="10"/>
      <c r="G273" s="227"/>
      <c r="H273" s="227"/>
      <c r="I273" s="227"/>
    </row>
    <row r="274">
      <c r="A274" s="226"/>
      <c r="B274" s="10"/>
      <c r="C274" s="10"/>
      <c r="G274" s="227"/>
      <c r="H274" s="227"/>
      <c r="I274" s="227"/>
    </row>
    <row r="275">
      <c r="A275" s="226"/>
      <c r="B275" s="10"/>
      <c r="C275" s="10"/>
      <c r="G275" s="227"/>
      <c r="H275" s="227"/>
      <c r="I275" s="227"/>
    </row>
    <row r="276">
      <c r="A276" s="226"/>
      <c r="B276" s="10"/>
      <c r="C276" s="10"/>
      <c r="G276" s="227"/>
      <c r="H276" s="227"/>
      <c r="I276" s="227"/>
    </row>
    <row r="277">
      <c r="A277" s="226"/>
      <c r="B277" s="10"/>
      <c r="C277" s="10"/>
      <c r="G277" s="227"/>
      <c r="H277" s="227"/>
      <c r="I277" s="227"/>
    </row>
    <row r="278">
      <c r="A278" s="226"/>
      <c r="B278" s="10"/>
      <c r="C278" s="10"/>
      <c r="G278" s="227"/>
      <c r="H278" s="227"/>
      <c r="I278" s="227"/>
    </row>
    <row r="279">
      <c r="A279" s="226"/>
      <c r="B279" s="10"/>
      <c r="C279" s="10"/>
      <c r="G279" s="227"/>
      <c r="H279" s="227"/>
      <c r="I279" s="227"/>
    </row>
    <row r="280">
      <c r="A280" s="226"/>
      <c r="B280" s="10"/>
      <c r="C280" s="10"/>
      <c r="G280" s="227"/>
      <c r="H280" s="227"/>
      <c r="I280" s="227"/>
    </row>
    <row r="281">
      <c r="A281" s="226"/>
      <c r="B281" s="10"/>
      <c r="C281" s="10"/>
      <c r="G281" s="227"/>
      <c r="H281" s="227"/>
      <c r="I281" s="227"/>
    </row>
    <row r="282">
      <c r="A282" s="226"/>
      <c r="B282" s="10"/>
      <c r="C282" s="10"/>
      <c r="G282" s="227"/>
      <c r="H282" s="227"/>
      <c r="I282" s="227"/>
    </row>
    <row r="283">
      <c r="A283" s="226"/>
      <c r="B283" s="10"/>
      <c r="C283" s="10"/>
      <c r="G283" s="227"/>
      <c r="H283" s="227"/>
      <c r="I283" s="227"/>
    </row>
    <row r="284">
      <c r="A284" s="226"/>
      <c r="B284" s="10"/>
      <c r="C284" s="10"/>
      <c r="G284" s="227"/>
      <c r="H284" s="227"/>
      <c r="I284" s="227"/>
    </row>
    <row r="285">
      <c r="A285" s="226"/>
      <c r="B285" s="10"/>
      <c r="C285" s="10"/>
      <c r="G285" s="227"/>
      <c r="H285" s="227"/>
      <c r="I285" s="227"/>
    </row>
    <row r="286">
      <c r="A286" s="226"/>
      <c r="B286" s="10"/>
      <c r="C286" s="10"/>
      <c r="G286" s="227"/>
      <c r="H286" s="227"/>
      <c r="I286" s="227"/>
    </row>
    <row r="287">
      <c r="A287" s="226"/>
      <c r="B287" s="10"/>
      <c r="C287" s="10"/>
      <c r="G287" s="227"/>
      <c r="H287" s="227"/>
      <c r="I287" s="227"/>
    </row>
    <row r="288">
      <c r="A288" s="226"/>
      <c r="B288" s="10"/>
      <c r="C288" s="10"/>
      <c r="G288" s="227"/>
      <c r="H288" s="227"/>
      <c r="I288" s="227"/>
    </row>
    <row r="289">
      <c r="A289" s="226"/>
      <c r="B289" s="10"/>
      <c r="C289" s="10"/>
      <c r="G289" s="227"/>
      <c r="H289" s="227"/>
      <c r="I289" s="227"/>
    </row>
    <row r="290">
      <c r="A290" s="226"/>
      <c r="B290" s="10"/>
      <c r="C290" s="10"/>
      <c r="G290" s="227"/>
      <c r="H290" s="227"/>
      <c r="I290" s="227"/>
    </row>
    <row r="291">
      <c r="A291" s="226"/>
      <c r="B291" s="10"/>
      <c r="C291" s="10"/>
      <c r="G291" s="227"/>
      <c r="H291" s="227"/>
      <c r="I291" s="227"/>
    </row>
    <row r="292">
      <c r="A292" s="226"/>
      <c r="B292" s="10"/>
      <c r="C292" s="10"/>
      <c r="G292" s="227"/>
      <c r="H292" s="227"/>
      <c r="I292" s="227"/>
    </row>
    <row r="293">
      <c r="A293" s="226"/>
      <c r="B293" s="10"/>
      <c r="C293" s="10"/>
      <c r="G293" s="227"/>
      <c r="H293" s="227"/>
      <c r="I293" s="227"/>
    </row>
    <row r="294">
      <c r="A294" s="226"/>
      <c r="B294" s="10"/>
      <c r="C294" s="10"/>
      <c r="G294" s="227"/>
      <c r="H294" s="227"/>
      <c r="I294" s="227"/>
    </row>
    <row r="295">
      <c r="A295" s="226"/>
      <c r="B295" s="10"/>
      <c r="C295" s="10"/>
      <c r="G295" s="227"/>
      <c r="H295" s="227"/>
      <c r="I295" s="227"/>
    </row>
    <row r="296">
      <c r="A296" s="226"/>
      <c r="B296" s="10"/>
      <c r="C296" s="10"/>
      <c r="G296" s="227"/>
      <c r="H296" s="227"/>
      <c r="I296" s="227"/>
    </row>
    <row r="297">
      <c r="A297" s="226"/>
      <c r="B297" s="10"/>
      <c r="C297" s="10"/>
      <c r="G297" s="227"/>
      <c r="H297" s="227"/>
      <c r="I297" s="227"/>
    </row>
    <row r="298">
      <c r="A298" s="226"/>
      <c r="B298" s="10"/>
      <c r="C298" s="10"/>
      <c r="G298" s="227"/>
      <c r="H298" s="227"/>
      <c r="I298" s="227"/>
    </row>
    <row r="299">
      <c r="A299" s="226"/>
      <c r="B299" s="10"/>
      <c r="C299" s="10"/>
      <c r="G299" s="227"/>
      <c r="H299" s="227"/>
      <c r="I299" s="227"/>
    </row>
    <row r="300">
      <c r="A300" s="226"/>
      <c r="B300" s="10"/>
      <c r="C300" s="10"/>
      <c r="G300" s="227"/>
      <c r="H300" s="227"/>
      <c r="I300" s="227"/>
    </row>
    <row r="301">
      <c r="A301" s="226"/>
      <c r="B301" s="10"/>
      <c r="C301" s="10"/>
      <c r="G301" s="227"/>
      <c r="H301" s="227"/>
      <c r="I301" s="227"/>
    </row>
    <row r="302">
      <c r="A302" s="226"/>
      <c r="B302" s="10"/>
      <c r="C302" s="10"/>
      <c r="G302" s="227"/>
      <c r="H302" s="227"/>
      <c r="I302" s="227"/>
    </row>
    <row r="303">
      <c r="A303" s="226"/>
      <c r="B303" s="10"/>
      <c r="C303" s="10"/>
      <c r="G303" s="227"/>
      <c r="H303" s="227"/>
      <c r="I303" s="227"/>
    </row>
    <row r="304">
      <c r="A304" s="226"/>
      <c r="B304" s="10"/>
      <c r="C304" s="10"/>
      <c r="G304" s="227"/>
      <c r="H304" s="227"/>
      <c r="I304" s="227"/>
    </row>
    <row r="305">
      <c r="A305" s="226"/>
      <c r="B305" s="10"/>
      <c r="C305" s="10"/>
      <c r="G305" s="227"/>
      <c r="H305" s="227"/>
      <c r="I305" s="227"/>
    </row>
    <row r="306">
      <c r="A306" s="226"/>
      <c r="B306" s="10"/>
      <c r="C306" s="10"/>
      <c r="G306" s="227"/>
      <c r="H306" s="227"/>
      <c r="I306" s="227"/>
    </row>
    <row r="307">
      <c r="A307" s="226"/>
      <c r="B307" s="10"/>
      <c r="C307" s="10"/>
      <c r="G307" s="227"/>
      <c r="H307" s="227"/>
      <c r="I307" s="227"/>
    </row>
    <row r="308">
      <c r="A308" s="226"/>
      <c r="B308" s="10"/>
      <c r="C308" s="10"/>
      <c r="G308" s="227"/>
      <c r="H308" s="227"/>
      <c r="I308" s="227"/>
    </row>
    <row r="309">
      <c r="A309" s="226"/>
      <c r="B309" s="10"/>
      <c r="C309" s="10"/>
      <c r="G309" s="227"/>
      <c r="H309" s="227"/>
      <c r="I309" s="227"/>
    </row>
    <row r="310">
      <c r="A310" s="226"/>
      <c r="B310" s="10"/>
      <c r="C310" s="10"/>
      <c r="G310" s="227"/>
      <c r="H310" s="227"/>
      <c r="I310" s="227"/>
    </row>
    <row r="311">
      <c r="A311" s="226"/>
      <c r="B311" s="10"/>
      <c r="C311" s="10"/>
      <c r="G311" s="227"/>
      <c r="H311" s="227"/>
      <c r="I311" s="227"/>
    </row>
    <row r="312">
      <c r="A312" s="226"/>
      <c r="B312" s="10"/>
      <c r="C312" s="10"/>
      <c r="G312" s="227"/>
      <c r="H312" s="227"/>
      <c r="I312" s="227"/>
    </row>
    <row r="313">
      <c r="A313" s="226"/>
      <c r="B313" s="10"/>
      <c r="C313" s="10"/>
      <c r="G313" s="227"/>
      <c r="H313" s="227"/>
      <c r="I313" s="227"/>
    </row>
    <row r="314">
      <c r="A314" s="226"/>
      <c r="B314" s="10"/>
      <c r="C314" s="10"/>
      <c r="G314" s="227"/>
      <c r="H314" s="227"/>
      <c r="I314" s="227"/>
    </row>
    <row r="315">
      <c r="A315" s="226"/>
      <c r="B315" s="10"/>
      <c r="C315" s="10"/>
      <c r="G315" s="227"/>
      <c r="H315" s="227"/>
      <c r="I315" s="227"/>
    </row>
    <row r="316">
      <c r="A316" s="226"/>
      <c r="B316" s="10"/>
      <c r="C316" s="10"/>
      <c r="G316" s="227"/>
      <c r="H316" s="227"/>
      <c r="I316" s="227"/>
    </row>
    <row r="317">
      <c r="A317" s="226"/>
      <c r="B317" s="10"/>
      <c r="C317" s="10"/>
      <c r="G317" s="227"/>
      <c r="H317" s="227"/>
      <c r="I317" s="227"/>
    </row>
    <row r="318">
      <c r="A318" s="226"/>
      <c r="B318" s="10"/>
      <c r="C318" s="10"/>
      <c r="G318" s="227"/>
      <c r="H318" s="227"/>
      <c r="I318" s="227"/>
    </row>
    <row r="319">
      <c r="A319" s="226"/>
      <c r="B319" s="10"/>
      <c r="C319" s="10"/>
      <c r="G319" s="227"/>
      <c r="H319" s="227"/>
      <c r="I319" s="227"/>
    </row>
    <row r="320">
      <c r="A320" s="226"/>
      <c r="B320" s="10"/>
      <c r="C320" s="10"/>
      <c r="G320" s="227"/>
      <c r="H320" s="227"/>
      <c r="I320" s="227"/>
    </row>
    <row r="321">
      <c r="A321" s="226"/>
      <c r="B321" s="10"/>
      <c r="C321" s="10"/>
      <c r="G321" s="227"/>
      <c r="H321" s="227"/>
      <c r="I321" s="227"/>
    </row>
    <row r="322">
      <c r="A322" s="226"/>
      <c r="B322" s="10"/>
      <c r="C322" s="10"/>
      <c r="G322" s="227"/>
      <c r="H322" s="227"/>
      <c r="I322" s="227"/>
    </row>
    <row r="323">
      <c r="A323" s="226"/>
      <c r="B323" s="10"/>
      <c r="C323" s="10"/>
      <c r="G323" s="227"/>
      <c r="H323" s="227"/>
      <c r="I323" s="227"/>
    </row>
    <row r="324">
      <c r="A324" s="226"/>
      <c r="B324" s="10"/>
      <c r="C324" s="10"/>
      <c r="G324" s="227"/>
      <c r="H324" s="227"/>
      <c r="I324" s="227"/>
    </row>
    <row r="325">
      <c r="A325" s="226"/>
      <c r="B325" s="10"/>
      <c r="C325" s="10"/>
      <c r="G325" s="227"/>
      <c r="H325" s="227"/>
      <c r="I325" s="227"/>
    </row>
    <row r="326">
      <c r="A326" s="226"/>
      <c r="B326" s="10"/>
      <c r="C326" s="10"/>
      <c r="G326" s="227"/>
      <c r="H326" s="227"/>
      <c r="I326" s="227"/>
    </row>
    <row r="327">
      <c r="A327" s="226"/>
      <c r="B327" s="10"/>
      <c r="C327" s="10"/>
      <c r="G327" s="227"/>
      <c r="H327" s="227"/>
      <c r="I327" s="227"/>
    </row>
    <row r="328">
      <c r="A328" s="226"/>
      <c r="B328" s="10"/>
      <c r="C328" s="10"/>
      <c r="G328" s="227"/>
      <c r="H328" s="227"/>
      <c r="I328" s="227"/>
    </row>
    <row r="329">
      <c r="A329" s="226"/>
      <c r="B329" s="10"/>
      <c r="C329" s="10"/>
      <c r="G329" s="227"/>
      <c r="H329" s="227"/>
      <c r="I329" s="227"/>
    </row>
    <row r="330">
      <c r="A330" s="226"/>
      <c r="B330" s="10"/>
      <c r="C330" s="10"/>
      <c r="G330" s="227"/>
      <c r="H330" s="227"/>
      <c r="I330" s="227"/>
    </row>
    <row r="331">
      <c r="A331" s="226"/>
      <c r="B331" s="10"/>
      <c r="C331" s="10"/>
      <c r="G331" s="227"/>
      <c r="H331" s="227"/>
      <c r="I331" s="227"/>
    </row>
    <row r="332">
      <c r="A332" s="226"/>
      <c r="B332" s="10"/>
      <c r="C332" s="10"/>
      <c r="G332" s="227"/>
      <c r="H332" s="227"/>
      <c r="I332" s="227"/>
    </row>
    <row r="333">
      <c r="A333" s="226"/>
      <c r="B333" s="10"/>
      <c r="C333" s="10"/>
      <c r="G333" s="227"/>
      <c r="H333" s="227"/>
      <c r="I333" s="227"/>
    </row>
    <row r="334">
      <c r="A334" s="226"/>
      <c r="B334" s="10"/>
      <c r="C334" s="10"/>
      <c r="G334" s="227"/>
      <c r="H334" s="227"/>
      <c r="I334" s="227"/>
    </row>
    <row r="335">
      <c r="A335" s="226"/>
      <c r="B335" s="10"/>
      <c r="C335" s="10"/>
      <c r="G335" s="227"/>
      <c r="H335" s="227"/>
      <c r="I335" s="227"/>
    </row>
    <row r="336">
      <c r="A336" s="226"/>
      <c r="B336" s="10"/>
      <c r="C336" s="10"/>
      <c r="G336" s="227"/>
      <c r="H336" s="227"/>
      <c r="I336" s="227"/>
    </row>
    <row r="337">
      <c r="A337" s="226"/>
      <c r="B337" s="10"/>
      <c r="C337" s="10"/>
      <c r="G337" s="227"/>
      <c r="H337" s="227"/>
      <c r="I337" s="227"/>
    </row>
    <row r="338">
      <c r="A338" s="226"/>
      <c r="B338" s="10"/>
      <c r="C338" s="10"/>
      <c r="G338" s="227"/>
      <c r="H338" s="227"/>
      <c r="I338" s="227"/>
    </row>
    <row r="339">
      <c r="A339" s="226"/>
      <c r="B339" s="10"/>
      <c r="C339" s="10"/>
      <c r="G339" s="227"/>
      <c r="H339" s="227"/>
      <c r="I339" s="227"/>
    </row>
    <row r="340">
      <c r="A340" s="226"/>
      <c r="B340" s="10"/>
      <c r="C340" s="10"/>
      <c r="G340" s="227"/>
      <c r="H340" s="227"/>
      <c r="I340" s="227"/>
    </row>
    <row r="341">
      <c r="A341" s="226"/>
      <c r="B341" s="10"/>
      <c r="C341" s="10"/>
      <c r="G341" s="227"/>
      <c r="H341" s="227"/>
      <c r="I341" s="227"/>
    </row>
    <row r="342">
      <c r="A342" s="226"/>
      <c r="B342" s="10"/>
      <c r="C342" s="10"/>
      <c r="G342" s="227"/>
      <c r="H342" s="227"/>
      <c r="I342" s="227"/>
    </row>
    <row r="343">
      <c r="A343" s="226"/>
      <c r="B343" s="10"/>
      <c r="C343" s="10"/>
      <c r="G343" s="227"/>
      <c r="H343" s="227"/>
      <c r="I343" s="227"/>
    </row>
    <row r="344">
      <c r="A344" s="226"/>
      <c r="B344" s="10"/>
      <c r="C344" s="10"/>
      <c r="G344" s="227"/>
      <c r="H344" s="227"/>
      <c r="I344" s="227"/>
    </row>
    <row r="345">
      <c r="A345" s="226"/>
      <c r="B345" s="10"/>
      <c r="C345" s="10"/>
      <c r="G345" s="227"/>
      <c r="H345" s="227"/>
      <c r="I345" s="227"/>
    </row>
    <row r="346">
      <c r="A346" s="226"/>
      <c r="B346" s="10"/>
      <c r="C346" s="10"/>
      <c r="G346" s="227"/>
      <c r="H346" s="227"/>
      <c r="I346" s="227"/>
    </row>
    <row r="347">
      <c r="A347" s="226"/>
      <c r="B347" s="10"/>
      <c r="C347" s="10"/>
      <c r="G347" s="227"/>
      <c r="H347" s="227"/>
      <c r="I347" s="227"/>
    </row>
    <row r="348">
      <c r="A348" s="226"/>
      <c r="B348" s="10"/>
      <c r="C348" s="10"/>
      <c r="G348" s="227"/>
      <c r="H348" s="227"/>
      <c r="I348" s="227"/>
    </row>
    <row r="349">
      <c r="A349" s="226"/>
      <c r="B349" s="10"/>
      <c r="C349" s="10"/>
      <c r="G349" s="227"/>
      <c r="H349" s="227"/>
      <c r="I349" s="227"/>
    </row>
    <row r="350">
      <c r="A350" s="226"/>
      <c r="B350" s="10"/>
      <c r="C350" s="10"/>
      <c r="G350" s="227"/>
      <c r="H350" s="227"/>
      <c r="I350" s="227"/>
    </row>
    <row r="351">
      <c r="A351" s="226"/>
      <c r="B351" s="10"/>
      <c r="C351" s="10"/>
      <c r="G351" s="227"/>
      <c r="H351" s="227"/>
      <c r="I351" s="227"/>
    </row>
    <row r="352">
      <c r="A352" s="226"/>
      <c r="B352" s="10"/>
      <c r="C352" s="10"/>
      <c r="G352" s="227"/>
      <c r="H352" s="227"/>
      <c r="I352" s="227"/>
    </row>
    <row r="353">
      <c r="A353" s="226"/>
      <c r="B353" s="10"/>
      <c r="C353" s="10"/>
      <c r="G353" s="227"/>
      <c r="H353" s="227"/>
      <c r="I353" s="227"/>
    </row>
    <row r="354">
      <c r="A354" s="226"/>
      <c r="B354" s="10"/>
      <c r="C354" s="10"/>
      <c r="G354" s="227"/>
      <c r="H354" s="227"/>
      <c r="I354" s="227"/>
    </row>
    <row r="355">
      <c r="A355" s="226"/>
      <c r="B355" s="10"/>
      <c r="C355" s="10"/>
      <c r="G355" s="227"/>
      <c r="H355" s="227"/>
      <c r="I355" s="227"/>
    </row>
    <row r="356">
      <c r="A356" s="226"/>
      <c r="B356" s="10"/>
      <c r="C356" s="10"/>
      <c r="G356" s="227"/>
      <c r="H356" s="227"/>
      <c r="I356" s="227"/>
    </row>
    <row r="357">
      <c r="A357" s="226"/>
      <c r="B357" s="10"/>
      <c r="C357" s="10"/>
      <c r="G357" s="227"/>
      <c r="H357" s="227"/>
      <c r="I357" s="227"/>
    </row>
    <row r="358">
      <c r="A358" s="226"/>
      <c r="B358" s="10"/>
      <c r="C358" s="10"/>
      <c r="G358" s="227"/>
      <c r="H358" s="227"/>
      <c r="I358" s="227"/>
    </row>
    <row r="359">
      <c r="A359" s="226"/>
      <c r="B359" s="10"/>
      <c r="C359" s="10"/>
      <c r="G359" s="227"/>
      <c r="H359" s="227"/>
      <c r="I359" s="227"/>
    </row>
    <row r="360">
      <c r="A360" s="226"/>
      <c r="B360" s="10"/>
      <c r="C360" s="10"/>
      <c r="G360" s="227"/>
      <c r="H360" s="227"/>
      <c r="I360" s="227"/>
    </row>
    <row r="361">
      <c r="A361" s="226"/>
      <c r="B361" s="10"/>
      <c r="C361" s="10"/>
      <c r="G361" s="227"/>
      <c r="H361" s="227"/>
      <c r="I361" s="227"/>
    </row>
    <row r="362">
      <c r="A362" s="226"/>
      <c r="B362" s="10"/>
      <c r="C362" s="10"/>
      <c r="G362" s="227"/>
      <c r="H362" s="227"/>
      <c r="I362" s="227"/>
    </row>
    <row r="363">
      <c r="A363" s="226"/>
      <c r="B363" s="10"/>
      <c r="C363" s="10"/>
      <c r="G363" s="227"/>
      <c r="H363" s="227"/>
      <c r="I363" s="227"/>
    </row>
    <row r="364">
      <c r="A364" s="226"/>
      <c r="B364" s="10"/>
      <c r="C364" s="10"/>
      <c r="G364" s="227"/>
      <c r="H364" s="227"/>
      <c r="I364" s="227"/>
    </row>
    <row r="365">
      <c r="A365" s="226"/>
      <c r="B365" s="10"/>
      <c r="C365" s="10"/>
      <c r="G365" s="227"/>
      <c r="H365" s="227"/>
      <c r="I365" s="227"/>
    </row>
    <row r="366">
      <c r="A366" s="226"/>
      <c r="B366" s="10"/>
      <c r="C366" s="10"/>
      <c r="G366" s="227"/>
      <c r="H366" s="227"/>
      <c r="I366" s="227"/>
    </row>
    <row r="367">
      <c r="A367" s="226"/>
      <c r="B367" s="10"/>
      <c r="C367" s="10"/>
      <c r="G367" s="227"/>
      <c r="H367" s="227"/>
      <c r="I367" s="227"/>
    </row>
    <row r="368">
      <c r="A368" s="226"/>
      <c r="B368" s="10"/>
      <c r="C368" s="10"/>
      <c r="G368" s="227"/>
      <c r="H368" s="227"/>
      <c r="I368" s="227"/>
    </row>
    <row r="369">
      <c r="A369" s="226"/>
      <c r="B369" s="10"/>
      <c r="C369" s="10"/>
      <c r="G369" s="227"/>
      <c r="H369" s="227"/>
      <c r="I369" s="227"/>
    </row>
    <row r="370">
      <c r="A370" s="226"/>
      <c r="B370" s="10"/>
      <c r="C370" s="10"/>
      <c r="G370" s="227"/>
      <c r="H370" s="227"/>
      <c r="I370" s="227"/>
    </row>
    <row r="371">
      <c r="A371" s="226"/>
      <c r="B371" s="10"/>
      <c r="C371" s="10"/>
      <c r="G371" s="227"/>
      <c r="H371" s="227"/>
      <c r="I371" s="227"/>
    </row>
    <row r="372">
      <c r="A372" s="226"/>
      <c r="B372" s="10"/>
      <c r="C372" s="10"/>
      <c r="G372" s="227"/>
      <c r="H372" s="227"/>
      <c r="I372" s="227"/>
    </row>
    <row r="373">
      <c r="A373" s="226"/>
      <c r="B373" s="10"/>
      <c r="C373" s="10"/>
      <c r="G373" s="227"/>
      <c r="H373" s="227"/>
      <c r="I373" s="227"/>
    </row>
    <row r="374">
      <c r="A374" s="226"/>
      <c r="B374" s="10"/>
      <c r="C374" s="10"/>
      <c r="G374" s="227"/>
      <c r="H374" s="227"/>
      <c r="I374" s="227"/>
    </row>
    <row r="375">
      <c r="A375" s="226"/>
      <c r="B375" s="10"/>
      <c r="C375" s="10"/>
      <c r="G375" s="227"/>
      <c r="H375" s="227"/>
      <c r="I375" s="227"/>
    </row>
    <row r="376">
      <c r="A376" s="226"/>
      <c r="B376" s="10"/>
      <c r="C376" s="10"/>
      <c r="G376" s="227"/>
      <c r="H376" s="227"/>
      <c r="I376" s="227"/>
    </row>
    <row r="377">
      <c r="A377" s="226"/>
      <c r="B377" s="10"/>
      <c r="C377" s="10"/>
      <c r="G377" s="227"/>
      <c r="H377" s="227"/>
      <c r="I377" s="227"/>
    </row>
    <row r="378">
      <c r="A378" s="226"/>
      <c r="B378" s="10"/>
      <c r="C378" s="10"/>
      <c r="G378" s="227"/>
      <c r="H378" s="227"/>
      <c r="I378" s="227"/>
    </row>
    <row r="379">
      <c r="A379" s="226"/>
      <c r="B379" s="10"/>
      <c r="C379" s="10"/>
      <c r="G379" s="227"/>
      <c r="H379" s="227"/>
      <c r="I379" s="227"/>
    </row>
    <row r="380">
      <c r="A380" s="226"/>
      <c r="B380" s="10"/>
      <c r="C380" s="10"/>
      <c r="G380" s="227"/>
      <c r="H380" s="227"/>
      <c r="I380" s="227"/>
    </row>
    <row r="381">
      <c r="A381" s="226"/>
      <c r="B381" s="10"/>
      <c r="C381" s="10"/>
      <c r="G381" s="227"/>
      <c r="H381" s="227"/>
      <c r="I381" s="227"/>
    </row>
    <row r="382">
      <c r="A382" s="226"/>
      <c r="B382" s="10"/>
      <c r="C382" s="10"/>
      <c r="G382" s="227"/>
      <c r="H382" s="227"/>
      <c r="I382" s="227"/>
    </row>
    <row r="383">
      <c r="A383" s="226"/>
      <c r="B383" s="10"/>
      <c r="C383" s="10"/>
      <c r="G383" s="227"/>
      <c r="H383" s="227"/>
      <c r="I383" s="227"/>
    </row>
    <row r="384">
      <c r="A384" s="226"/>
      <c r="B384" s="10"/>
      <c r="C384" s="10"/>
      <c r="G384" s="227"/>
      <c r="H384" s="227"/>
      <c r="I384" s="227"/>
    </row>
    <row r="385">
      <c r="A385" s="226"/>
      <c r="B385" s="10"/>
      <c r="C385" s="10"/>
      <c r="G385" s="227"/>
      <c r="H385" s="227"/>
      <c r="I385" s="227"/>
    </row>
    <row r="386">
      <c r="A386" s="226"/>
      <c r="B386" s="10"/>
      <c r="C386" s="10"/>
      <c r="G386" s="227"/>
      <c r="H386" s="227"/>
      <c r="I386" s="227"/>
    </row>
    <row r="387">
      <c r="A387" s="226"/>
      <c r="B387" s="10"/>
      <c r="C387" s="10"/>
      <c r="G387" s="227"/>
      <c r="H387" s="227"/>
      <c r="I387" s="227"/>
    </row>
    <row r="388">
      <c r="A388" s="226"/>
      <c r="B388" s="10"/>
      <c r="C388" s="10"/>
      <c r="G388" s="227"/>
      <c r="H388" s="227"/>
      <c r="I388" s="227"/>
    </row>
    <row r="389">
      <c r="A389" s="226"/>
      <c r="B389" s="10"/>
      <c r="C389" s="10"/>
      <c r="G389" s="227"/>
      <c r="H389" s="227"/>
      <c r="I389" s="227"/>
    </row>
    <row r="390">
      <c r="A390" s="226"/>
      <c r="B390" s="10"/>
      <c r="C390" s="10"/>
      <c r="G390" s="227"/>
      <c r="H390" s="227"/>
      <c r="I390" s="227"/>
    </row>
    <row r="391">
      <c r="A391" s="226"/>
      <c r="B391" s="10"/>
      <c r="C391" s="10"/>
      <c r="G391" s="227"/>
      <c r="H391" s="227"/>
      <c r="I391" s="227"/>
    </row>
    <row r="392">
      <c r="A392" s="226"/>
      <c r="B392" s="10"/>
      <c r="C392" s="10"/>
      <c r="G392" s="227"/>
      <c r="H392" s="227"/>
      <c r="I392" s="227"/>
    </row>
    <row r="393">
      <c r="A393" s="226"/>
      <c r="B393" s="10"/>
      <c r="C393" s="10"/>
      <c r="G393" s="227"/>
      <c r="H393" s="227"/>
      <c r="I393" s="227"/>
    </row>
    <row r="394">
      <c r="A394" s="226"/>
      <c r="B394" s="10"/>
      <c r="C394" s="10"/>
      <c r="G394" s="227"/>
      <c r="H394" s="227"/>
      <c r="I394" s="227"/>
    </row>
    <row r="395">
      <c r="A395" s="226"/>
      <c r="B395" s="10"/>
      <c r="C395" s="10"/>
      <c r="G395" s="227"/>
      <c r="H395" s="227"/>
      <c r="I395" s="227"/>
    </row>
    <row r="396">
      <c r="A396" s="226"/>
      <c r="B396" s="10"/>
      <c r="C396" s="10"/>
      <c r="G396" s="227"/>
      <c r="H396" s="227"/>
      <c r="I396" s="227"/>
    </row>
    <row r="397">
      <c r="A397" s="226"/>
      <c r="B397" s="10"/>
      <c r="C397" s="10"/>
      <c r="G397" s="227"/>
      <c r="H397" s="227"/>
      <c r="I397" s="227"/>
    </row>
    <row r="398">
      <c r="A398" s="226"/>
      <c r="B398" s="10"/>
      <c r="C398" s="10"/>
      <c r="G398" s="227"/>
      <c r="H398" s="227"/>
      <c r="I398" s="227"/>
    </row>
    <row r="399">
      <c r="A399" s="226"/>
      <c r="B399" s="10"/>
      <c r="C399" s="10"/>
      <c r="G399" s="227"/>
      <c r="H399" s="227"/>
      <c r="I399" s="227"/>
    </row>
    <row r="400">
      <c r="A400" s="226"/>
      <c r="B400" s="10"/>
      <c r="C400" s="10"/>
      <c r="G400" s="227"/>
      <c r="H400" s="227"/>
      <c r="I400" s="227"/>
    </row>
    <row r="401">
      <c r="A401" s="226"/>
      <c r="B401" s="10"/>
      <c r="C401" s="10"/>
      <c r="G401" s="227"/>
      <c r="H401" s="227"/>
      <c r="I401" s="227"/>
    </row>
    <row r="402">
      <c r="A402" s="226"/>
      <c r="B402" s="10"/>
      <c r="C402" s="10"/>
      <c r="G402" s="227"/>
      <c r="H402" s="227"/>
      <c r="I402" s="227"/>
    </row>
    <row r="403">
      <c r="A403" s="226"/>
      <c r="B403" s="10"/>
      <c r="C403" s="10"/>
      <c r="G403" s="227"/>
      <c r="H403" s="227"/>
      <c r="I403" s="227"/>
    </row>
    <row r="404">
      <c r="A404" s="226"/>
      <c r="B404" s="10"/>
      <c r="C404" s="10"/>
      <c r="G404" s="227"/>
      <c r="H404" s="227"/>
      <c r="I404" s="227"/>
    </row>
    <row r="405">
      <c r="A405" s="226"/>
      <c r="B405" s="10"/>
      <c r="C405" s="10"/>
      <c r="G405" s="227"/>
      <c r="H405" s="227"/>
      <c r="I405" s="227"/>
    </row>
    <row r="406">
      <c r="A406" s="226"/>
      <c r="B406" s="10"/>
      <c r="C406" s="10"/>
      <c r="G406" s="227"/>
      <c r="H406" s="227"/>
      <c r="I406" s="227"/>
    </row>
    <row r="407">
      <c r="A407" s="226"/>
      <c r="B407" s="10"/>
      <c r="C407" s="10"/>
      <c r="G407" s="227"/>
      <c r="H407" s="227"/>
      <c r="I407" s="227"/>
    </row>
    <row r="408">
      <c r="A408" s="226"/>
      <c r="B408" s="10"/>
      <c r="C408" s="10"/>
      <c r="G408" s="227"/>
      <c r="H408" s="227"/>
      <c r="I408" s="227"/>
    </row>
    <row r="409">
      <c r="A409" s="226"/>
      <c r="B409" s="10"/>
      <c r="C409" s="10"/>
      <c r="G409" s="227"/>
      <c r="H409" s="227"/>
      <c r="I409" s="227"/>
    </row>
    <row r="410">
      <c r="A410" s="226"/>
      <c r="B410" s="10"/>
      <c r="C410" s="10"/>
      <c r="G410" s="227"/>
      <c r="H410" s="227"/>
      <c r="I410" s="227"/>
    </row>
    <row r="411">
      <c r="A411" s="226"/>
      <c r="B411" s="10"/>
      <c r="C411" s="10"/>
      <c r="G411" s="227"/>
      <c r="H411" s="227"/>
      <c r="I411" s="227"/>
    </row>
    <row r="412">
      <c r="A412" s="226"/>
      <c r="B412" s="10"/>
      <c r="C412" s="10"/>
      <c r="G412" s="227"/>
      <c r="H412" s="227"/>
      <c r="I412" s="227"/>
    </row>
    <row r="413">
      <c r="A413" s="226"/>
      <c r="B413" s="10"/>
      <c r="C413" s="10"/>
      <c r="G413" s="227"/>
      <c r="H413" s="227"/>
      <c r="I413" s="227"/>
    </row>
    <row r="414">
      <c r="A414" s="226"/>
      <c r="B414" s="10"/>
      <c r="C414" s="10"/>
      <c r="G414" s="227"/>
      <c r="H414" s="227"/>
      <c r="I414" s="227"/>
    </row>
    <row r="415">
      <c r="A415" s="226"/>
      <c r="B415" s="10"/>
      <c r="C415" s="10"/>
      <c r="G415" s="227"/>
      <c r="H415" s="227"/>
      <c r="I415" s="227"/>
    </row>
    <row r="416">
      <c r="A416" s="226"/>
      <c r="B416" s="10"/>
      <c r="C416" s="10"/>
      <c r="G416" s="227"/>
      <c r="H416" s="227"/>
      <c r="I416" s="227"/>
    </row>
    <row r="417">
      <c r="A417" s="226"/>
      <c r="B417" s="10"/>
      <c r="C417" s="10"/>
      <c r="G417" s="227"/>
      <c r="H417" s="227"/>
      <c r="I417" s="227"/>
    </row>
    <row r="418">
      <c r="A418" s="226"/>
      <c r="B418" s="10"/>
      <c r="C418" s="10"/>
      <c r="G418" s="227"/>
      <c r="H418" s="227"/>
      <c r="I418" s="227"/>
    </row>
    <row r="419">
      <c r="A419" s="226"/>
      <c r="B419" s="10"/>
      <c r="C419" s="10"/>
      <c r="G419" s="227"/>
      <c r="H419" s="227"/>
      <c r="I419" s="227"/>
    </row>
    <row r="420">
      <c r="A420" s="226"/>
      <c r="B420" s="10"/>
      <c r="C420" s="10"/>
      <c r="G420" s="227"/>
      <c r="H420" s="227"/>
      <c r="I420" s="227"/>
    </row>
    <row r="421">
      <c r="A421" s="226"/>
      <c r="B421" s="10"/>
      <c r="C421" s="10"/>
      <c r="G421" s="227"/>
      <c r="H421" s="227"/>
      <c r="I421" s="227"/>
    </row>
    <row r="422">
      <c r="A422" s="226"/>
      <c r="B422" s="10"/>
      <c r="C422" s="10"/>
      <c r="G422" s="227"/>
      <c r="H422" s="227"/>
      <c r="I422" s="227"/>
    </row>
    <row r="423">
      <c r="A423" s="226"/>
      <c r="B423" s="10"/>
      <c r="C423" s="10"/>
      <c r="G423" s="227"/>
      <c r="H423" s="227"/>
      <c r="I423" s="227"/>
    </row>
    <row r="424">
      <c r="A424" s="226"/>
      <c r="B424" s="10"/>
      <c r="C424" s="10"/>
      <c r="G424" s="227"/>
      <c r="H424" s="227"/>
      <c r="I424" s="227"/>
    </row>
    <row r="425">
      <c r="A425" s="226"/>
      <c r="B425" s="10"/>
      <c r="C425" s="10"/>
      <c r="G425" s="227"/>
      <c r="H425" s="227"/>
      <c r="I425" s="227"/>
    </row>
    <row r="426">
      <c r="A426" s="226"/>
      <c r="B426" s="10"/>
      <c r="C426" s="10"/>
      <c r="G426" s="227"/>
      <c r="H426" s="227"/>
      <c r="I426" s="227"/>
    </row>
    <row r="427">
      <c r="A427" s="226"/>
      <c r="B427" s="10"/>
      <c r="C427" s="10"/>
      <c r="G427" s="227"/>
      <c r="H427" s="227"/>
      <c r="I427" s="227"/>
    </row>
    <row r="428">
      <c r="A428" s="226"/>
      <c r="B428" s="10"/>
      <c r="C428" s="10"/>
      <c r="G428" s="227"/>
      <c r="H428" s="227"/>
      <c r="I428" s="227"/>
    </row>
    <row r="429">
      <c r="A429" s="226"/>
      <c r="B429" s="10"/>
      <c r="C429" s="10"/>
      <c r="G429" s="227"/>
      <c r="H429" s="227"/>
      <c r="I429" s="227"/>
    </row>
    <row r="430">
      <c r="A430" s="226"/>
      <c r="B430" s="10"/>
      <c r="C430" s="10"/>
      <c r="G430" s="227"/>
      <c r="H430" s="227"/>
      <c r="I430" s="227"/>
    </row>
    <row r="431">
      <c r="A431" s="226"/>
      <c r="B431" s="10"/>
      <c r="C431" s="10"/>
      <c r="G431" s="227"/>
      <c r="H431" s="227"/>
      <c r="I431" s="227"/>
    </row>
    <row r="432">
      <c r="A432" s="226"/>
      <c r="B432" s="10"/>
      <c r="C432" s="10"/>
      <c r="G432" s="227"/>
      <c r="H432" s="227"/>
      <c r="I432" s="227"/>
    </row>
    <row r="433">
      <c r="A433" s="226"/>
      <c r="B433" s="10"/>
      <c r="C433" s="10"/>
      <c r="G433" s="227"/>
      <c r="H433" s="227"/>
      <c r="I433" s="227"/>
    </row>
    <row r="434">
      <c r="A434" s="226"/>
      <c r="B434" s="10"/>
      <c r="C434" s="10"/>
      <c r="G434" s="227"/>
      <c r="H434" s="227"/>
      <c r="I434" s="227"/>
    </row>
    <row r="435">
      <c r="A435" s="226"/>
      <c r="B435" s="10"/>
      <c r="C435" s="10"/>
      <c r="G435" s="227"/>
      <c r="H435" s="227"/>
      <c r="I435" s="227"/>
    </row>
    <row r="436">
      <c r="A436" s="226"/>
      <c r="B436" s="10"/>
      <c r="C436" s="10"/>
      <c r="G436" s="227"/>
      <c r="H436" s="227"/>
      <c r="I436" s="227"/>
    </row>
    <row r="437">
      <c r="A437" s="226"/>
      <c r="B437" s="10"/>
      <c r="C437" s="10"/>
      <c r="G437" s="227"/>
      <c r="H437" s="227"/>
      <c r="I437" s="227"/>
    </row>
    <row r="438">
      <c r="A438" s="226"/>
      <c r="B438" s="10"/>
      <c r="C438" s="10"/>
      <c r="G438" s="227"/>
      <c r="H438" s="227"/>
      <c r="I438" s="227"/>
    </row>
    <row r="439">
      <c r="A439" s="226"/>
      <c r="B439" s="10"/>
      <c r="C439" s="10"/>
      <c r="G439" s="227"/>
      <c r="H439" s="227"/>
      <c r="I439" s="227"/>
    </row>
    <row r="440">
      <c r="A440" s="226"/>
      <c r="B440" s="10"/>
      <c r="C440" s="10"/>
      <c r="G440" s="227"/>
      <c r="H440" s="227"/>
      <c r="I440" s="227"/>
    </row>
    <row r="441">
      <c r="A441" s="226"/>
      <c r="B441" s="10"/>
      <c r="C441" s="10"/>
      <c r="G441" s="227"/>
      <c r="H441" s="227"/>
      <c r="I441" s="227"/>
    </row>
    <row r="442">
      <c r="A442" s="226"/>
      <c r="B442" s="10"/>
      <c r="C442" s="10"/>
      <c r="G442" s="227"/>
      <c r="H442" s="227"/>
      <c r="I442" s="227"/>
    </row>
    <row r="443">
      <c r="A443" s="226"/>
      <c r="B443" s="10"/>
      <c r="C443" s="10"/>
      <c r="G443" s="227"/>
      <c r="H443" s="227"/>
      <c r="I443" s="227"/>
    </row>
    <row r="444">
      <c r="A444" s="226"/>
      <c r="B444" s="10"/>
      <c r="C444" s="10"/>
      <c r="G444" s="227"/>
      <c r="H444" s="227"/>
      <c r="I444" s="227"/>
    </row>
    <row r="445">
      <c r="A445" s="226"/>
      <c r="B445" s="10"/>
      <c r="C445" s="10"/>
      <c r="G445" s="227"/>
      <c r="H445" s="227"/>
      <c r="I445" s="227"/>
    </row>
    <row r="446">
      <c r="A446" s="226"/>
      <c r="B446" s="10"/>
      <c r="C446" s="10"/>
      <c r="G446" s="227"/>
      <c r="H446" s="227"/>
      <c r="I446" s="227"/>
    </row>
    <row r="447">
      <c r="A447" s="226"/>
      <c r="B447" s="10"/>
      <c r="C447" s="10"/>
      <c r="G447" s="227"/>
      <c r="H447" s="227"/>
      <c r="I447" s="227"/>
    </row>
    <row r="448">
      <c r="A448" s="226"/>
      <c r="B448" s="10"/>
      <c r="C448" s="10"/>
      <c r="G448" s="227"/>
      <c r="H448" s="227"/>
      <c r="I448" s="227"/>
    </row>
    <row r="449">
      <c r="A449" s="226"/>
      <c r="B449" s="10"/>
      <c r="C449" s="10"/>
      <c r="G449" s="227"/>
      <c r="H449" s="227"/>
      <c r="I449" s="227"/>
    </row>
    <row r="450">
      <c r="A450" s="226"/>
      <c r="B450" s="10"/>
      <c r="C450" s="10"/>
      <c r="G450" s="227"/>
      <c r="H450" s="227"/>
      <c r="I450" s="227"/>
    </row>
    <row r="451">
      <c r="A451" s="226"/>
      <c r="B451" s="10"/>
      <c r="C451" s="10"/>
      <c r="G451" s="227"/>
      <c r="H451" s="227"/>
      <c r="I451" s="227"/>
    </row>
    <row r="452">
      <c r="A452" s="226"/>
      <c r="B452" s="10"/>
      <c r="C452" s="10"/>
      <c r="G452" s="227"/>
      <c r="H452" s="227"/>
      <c r="I452" s="227"/>
    </row>
    <row r="453">
      <c r="A453" s="226"/>
      <c r="B453" s="10"/>
      <c r="C453" s="10"/>
      <c r="G453" s="227"/>
      <c r="H453" s="227"/>
      <c r="I453" s="227"/>
    </row>
    <row r="454">
      <c r="A454" s="226"/>
      <c r="B454" s="10"/>
      <c r="C454" s="10"/>
      <c r="G454" s="227"/>
      <c r="H454" s="227"/>
      <c r="I454" s="227"/>
    </row>
    <row r="455">
      <c r="A455" s="226"/>
      <c r="B455" s="10"/>
      <c r="C455" s="10"/>
      <c r="G455" s="227"/>
      <c r="H455" s="227"/>
      <c r="I455" s="227"/>
    </row>
    <row r="456">
      <c r="A456" s="226"/>
      <c r="B456" s="10"/>
      <c r="C456" s="10"/>
      <c r="G456" s="227"/>
      <c r="H456" s="227"/>
      <c r="I456" s="227"/>
    </row>
    <row r="457">
      <c r="A457" s="226"/>
      <c r="B457" s="10"/>
      <c r="C457" s="10"/>
      <c r="G457" s="227"/>
      <c r="H457" s="227"/>
      <c r="I457" s="227"/>
    </row>
    <row r="458">
      <c r="A458" s="226"/>
      <c r="B458" s="10"/>
      <c r="C458" s="10"/>
      <c r="G458" s="227"/>
      <c r="H458" s="227"/>
      <c r="I458" s="227"/>
    </row>
    <row r="459">
      <c r="A459" s="226"/>
      <c r="B459" s="10"/>
      <c r="C459" s="10"/>
      <c r="G459" s="227"/>
      <c r="H459" s="227"/>
      <c r="I459" s="227"/>
    </row>
    <row r="460">
      <c r="A460" s="226"/>
      <c r="B460" s="10"/>
      <c r="C460" s="10"/>
      <c r="G460" s="227"/>
      <c r="H460" s="227"/>
      <c r="I460" s="227"/>
    </row>
    <row r="461">
      <c r="A461" s="226"/>
      <c r="B461" s="10"/>
      <c r="C461" s="10"/>
      <c r="G461" s="227"/>
      <c r="H461" s="227"/>
      <c r="I461" s="227"/>
    </row>
    <row r="462">
      <c r="A462" s="226"/>
      <c r="B462" s="10"/>
      <c r="C462" s="10"/>
      <c r="G462" s="227"/>
      <c r="H462" s="227"/>
      <c r="I462" s="227"/>
    </row>
    <row r="463">
      <c r="A463" s="226"/>
      <c r="B463" s="10"/>
      <c r="C463" s="10"/>
      <c r="G463" s="227"/>
      <c r="H463" s="227"/>
      <c r="I463" s="227"/>
    </row>
    <row r="464">
      <c r="A464" s="226"/>
      <c r="B464" s="10"/>
      <c r="C464" s="10"/>
      <c r="G464" s="227"/>
      <c r="H464" s="227"/>
      <c r="I464" s="227"/>
    </row>
    <row r="465">
      <c r="A465" s="226"/>
      <c r="B465" s="10"/>
      <c r="C465" s="10"/>
      <c r="G465" s="227"/>
      <c r="H465" s="227"/>
      <c r="I465" s="227"/>
    </row>
    <row r="466">
      <c r="A466" s="226"/>
      <c r="B466" s="10"/>
      <c r="C466" s="10"/>
      <c r="G466" s="227"/>
      <c r="H466" s="227"/>
      <c r="I466" s="227"/>
    </row>
    <row r="467">
      <c r="A467" s="226"/>
      <c r="B467" s="10"/>
      <c r="C467" s="10"/>
      <c r="G467" s="227"/>
      <c r="H467" s="227"/>
      <c r="I467" s="227"/>
    </row>
    <row r="468">
      <c r="A468" s="226"/>
      <c r="B468" s="10"/>
      <c r="C468" s="10"/>
      <c r="G468" s="227"/>
      <c r="H468" s="227"/>
      <c r="I468" s="227"/>
    </row>
    <row r="469">
      <c r="A469" s="226"/>
      <c r="B469" s="10"/>
      <c r="C469" s="10"/>
      <c r="G469" s="227"/>
      <c r="H469" s="227"/>
      <c r="I469" s="227"/>
    </row>
    <row r="470">
      <c r="A470" s="226"/>
      <c r="B470" s="10"/>
      <c r="C470" s="10"/>
      <c r="G470" s="227"/>
      <c r="H470" s="227"/>
      <c r="I470" s="227"/>
    </row>
    <row r="471">
      <c r="A471" s="226"/>
      <c r="B471" s="10"/>
      <c r="C471" s="10"/>
      <c r="G471" s="227"/>
      <c r="H471" s="227"/>
      <c r="I471" s="227"/>
    </row>
    <row r="472">
      <c r="A472" s="226"/>
      <c r="B472" s="10"/>
      <c r="C472" s="10"/>
      <c r="G472" s="227"/>
      <c r="H472" s="227"/>
      <c r="I472" s="227"/>
    </row>
    <row r="473">
      <c r="A473" s="226"/>
      <c r="B473" s="10"/>
      <c r="C473" s="10"/>
      <c r="G473" s="227"/>
      <c r="H473" s="227"/>
      <c r="I473" s="227"/>
    </row>
    <row r="474">
      <c r="A474" s="226"/>
      <c r="B474" s="10"/>
      <c r="C474" s="10"/>
      <c r="G474" s="227"/>
      <c r="H474" s="227"/>
      <c r="I474" s="227"/>
    </row>
    <row r="475">
      <c r="A475" s="226"/>
      <c r="B475" s="10"/>
      <c r="C475" s="10"/>
      <c r="G475" s="227"/>
      <c r="H475" s="227"/>
      <c r="I475" s="227"/>
    </row>
    <row r="476">
      <c r="A476" s="226"/>
      <c r="B476" s="10"/>
      <c r="C476" s="10"/>
      <c r="G476" s="227"/>
      <c r="H476" s="227"/>
      <c r="I476" s="227"/>
    </row>
    <row r="477">
      <c r="A477" s="226"/>
      <c r="B477" s="10"/>
      <c r="C477" s="10"/>
      <c r="G477" s="227"/>
      <c r="H477" s="227"/>
      <c r="I477" s="227"/>
    </row>
    <row r="478">
      <c r="A478" s="226"/>
      <c r="B478" s="10"/>
      <c r="C478" s="10"/>
      <c r="G478" s="227"/>
      <c r="H478" s="227"/>
      <c r="I478" s="227"/>
    </row>
    <row r="479">
      <c r="A479" s="226"/>
      <c r="B479" s="10"/>
      <c r="C479" s="10"/>
      <c r="G479" s="227"/>
      <c r="H479" s="227"/>
      <c r="I479" s="227"/>
    </row>
    <row r="480">
      <c r="A480" s="226"/>
      <c r="B480" s="10"/>
      <c r="C480" s="10"/>
      <c r="G480" s="227"/>
      <c r="H480" s="227"/>
      <c r="I480" s="227"/>
    </row>
    <row r="481">
      <c r="A481" s="226"/>
      <c r="B481" s="10"/>
      <c r="C481" s="10"/>
      <c r="G481" s="227"/>
      <c r="H481" s="227"/>
      <c r="I481" s="227"/>
    </row>
    <row r="482">
      <c r="A482" s="226"/>
      <c r="B482" s="10"/>
      <c r="C482" s="10"/>
      <c r="G482" s="227"/>
      <c r="H482" s="227"/>
      <c r="I482" s="227"/>
    </row>
    <row r="483">
      <c r="A483" s="226"/>
      <c r="B483" s="10"/>
      <c r="C483" s="10"/>
      <c r="G483" s="227"/>
      <c r="H483" s="227"/>
      <c r="I483" s="227"/>
    </row>
    <row r="484">
      <c r="A484" s="226"/>
      <c r="B484" s="10"/>
      <c r="C484" s="10"/>
      <c r="G484" s="227"/>
      <c r="H484" s="227"/>
      <c r="I484" s="227"/>
    </row>
    <row r="485">
      <c r="A485" s="226"/>
      <c r="B485" s="10"/>
      <c r="C485" s="10"/>
      <c r="G485" s="227"/>
      <c r="H485" s="227"/>
      <c r="I485" s="227"/>
    </row>
    <row r="486">
      <c r="A486" s="226"/>
      <c r="B486" s="10"/>
      <c r="C486" s="10"/>
      <c r="G486" s="227"/>
      <c r="H486" s="227"/>
      <c r="I486" s="227"/>
    </row>
    <row r="487">
      <c r="A487" s="226"/>
      <c r="B487" s="10"/>
      <c r="C487" s="10"/>
      <c r="G487" s="227"/>
      <c r="H487" s="227"/>
      <c r="I487" s="227"/>
    </row>
    <row r="488">
      <c r="A488" s="226"/>
      <c r="B488" s="10"/>
      <c r="C488" s="10"/>
      <c r="G488" s="227"/>
      <c r="H488" s="227"/>
      <c r="I488" s="227"/>
    </row>
    <row r="489">
      <c r="A489" s="226"/>
      <c r="B489" s="10"/>
      <c r="C489" s="10"/>
      <c r="G489" s="227"/>
      <c r="H489" s="227"/>
      <c r="I489" s="227"/>
    </row>
    <row r="490">
      <c r="A490" s="226"/>
      <c r="B490" s="10"/>
      <c r="C490" s="10"/>
      <c r="G490" s="227"/>
      <c r="H490" s="227"/>
      <c r="I490" s="227"/>
    </row>
    <row r="491">
      <c r="A491" s="226"/>
      <c r="B491" s="10"/>
      <c r="C491" s="10"/>
      <c r="G491" s="227"/>
      <c r="H491" s="227"/>
      <c r="I491" s="227"/>
    </row>
    <row r="492">
      <c r="A492" s="226"/>
      <c r="B492" s="10"/>
      <c r="C492" s="10"/>
      <c r="G492" s="227"/>
      <c r="H492" s="227"/>
      <c r="I492" s="227"/>
    </row>
    <row r="493">
      <c r="A493" s="226"/>
      <c r="B493" s="10"/>
      <c r="C493" s="10"/>
      <c r="G493" s="227"/>
      <c r="H493" s="227"/>
      <c r="I493" s="227"/>
    </row>
    <row r="494">
      <c r="A494" s="226"/>
      <c r="B494" s="10"/>
      <c r="C494" s="10"/>
      <c r="G494" s="227"/>
      <c r="H494" s="227"/>
      <c r="I494" s="227"/>
    </row>
    <row r="495">
      <c r="A495" s="226"/>
      <c r="B495" s="10"/>
      <c r="C495" s="10"/>
      <c r="G495" s="227"/>
      <c r="H495" s="227"/>
      <c r="I495" s="227"/>
    </row>
    <row r="496">
      <c r="A496" s="226"/>
      <c r="B496" s="10"/>
      <c r="C496" s="10"/>
      <c r="G496" s="227"/>
      <c r="H496" s="227"/>
      <c r="I496" s="227"/>
    </row>
    <row r="497">
      <c r="A497" s="226"/>
      <c r="B497" s="10"/>
      <c r="C497" s="10"/>
      <c r="G497" s="227"/>
      <c r="H497" s="227"/>
      <c r="I497" s="227"/>
    </row>
    <row r="498">
      <c r="A498" s="226"/>
      <c r="B498" s="10"/>
      <c r="C498" s="10"/>
      <c r="G498" s="227"/>
      <c r="H498" s="227"/>
      <c r="I498" s="227"/>
    </row>
    <row r="499">
      <c r="A499" s="226"/>
      <c r="B499" s="10"/>
      <c r="C499" s="10"/>
      <c r="G499" s="227"/>
      <c r="H499" s="227"/>
      <c r="I499" s="227"/>
    </row>
    <row r="500">
      <c r="A500" s="226"/>
      <c r="B500" s="10"/>
      <c r="C500" s="10"/>
      <c r="G500" s="227"/>
      <c r="H500" s="227"/>
      <c r="I500" s="227"/>
    </row>
    <row r="501">
      <c r="A501" s="226"/>
      <c r="B501" s="10"/>
      <c r="C501" s="10"/>
      <c r="G501" s="227"/>
      <c r="H501" s="227"/>
      <c r="I501" s="227"/>
    </row>
    <row r="502">
      <c r="A502" s="226"/>
      <c r="B502" s="10"/>
      <c r="C502" s="10"/>
      <c r="G502" s="227"/>
      <c r="H502" s="227"/>
      <c r="I502" s="227"/>
    </row>
    <row r="503">
      <c r="A503" s="226"/>
      <c r="B503" s="10"/>
      <c r="C503" s="10"/>
      <c r="G503" s="227"/>
      <c r="H503" s="227"/>
      <c r="I503" s="227"/>
    </row>
    <row r="504">
      <c r="A504" s="226"/>
      <c r="B504" s="10"/>
      <c r="C504" s="10"/>
      <c r="G504" s="227"/>
      <c r="H504" s="227"/>
      <c r="I504" s="227"/>
    </row>
    <row r="505">
      <c r="A505" s="226"/>
      <c r="B505" s="10"/>
      <c r="C505" s="10"/>
      <c r="G505" s="227"/>
      <c r="H505" s="227"/>
      <c r="I505" s="227"/>
    </row>
    <row r="506">
      <c r="A506" s="226"/>
      <c r="B506" s="10"/>
      <c r="C506" s="10"/>
      <c r="G506" s="227"/>
      <c r="H506" s="227"/>
      <c r="I506" s="227"/>
    </row>
    <row r="507">
      <c r="A507" s="226"/>
      <c r="B507" s="10"/>
      <c r="C507" s="10"/>
      <c r="G507" s="227"/>
      <c r="H507" s="227"/>
      <c r="I507" s="227"/>
    </row>
    <row r="508">
      <c r="A508" s="226"/>
      <c r="B508" s="10"/>
      <c r="C508" s="10"/>
      <c r="G508" s="227"/>
      <c r="H508" s="227"/>
      <c r="I508" s="227"/>
    </row>
    <row r="509">
      <c r="A509" s="226"/>
      <c r="B509" s="10"/>
      <c r="C509" s="10"/>
      <c r="G509" s="227"/>
      <c r="H509" s="227"/>
      <c r="I509" s="227"/>
    </row>
    <row r="510">
      <c r="A510" s="226"/>
      <c r="B510" s="10"/>
      <c r="C510" s="10"/>
      <c r="G510" s="227"/>
      <c r="H510" s="227"/>
      <c r="I510" s="227"/>
    </row>
    <row r="511">
      <c r="A511" s="226"/>
      <c r="B511" s="10"/>
      <c r="C511" s="10"/>
      <c r="G511" s="227"/>
      <c r="H511" s="227"/>
      <c r="I511" s="227"/>
    </row>
    <row r="512">
      <c r="A512" s="226"/>
      <c r="B512" s="10"/>
      <c r="C512" s="10"/>
      <c r="G512" s="227"/>
      <c r="H512" s="227"/>
      <c r="I512" s="227"/>
    </row>
    <row r="513">
      <c r="A513" s="226"/>
      <c r="B513" s="10"/>
      <c r="C513" s="10"/>
      <c r="G513" s="227"/>
      <c r="H513" s="227"/>
      <c r="I513" s="227"/>
    </row>
    <row r="514">
      <c r="A514" s="226"/>
      <c r="B514" s="10"/>
      <c r="C514" s="10"/>
      <c r="G514" s="227"/>
      <c r="H514" s="227"/>
      <c r="I514" s="227"/>
    </row>
    <row r="515">
      <c r="A515" s="226"/>
      <c r="B515" s="10"/>
      <c r="C515" s="10"/>
      <c r="G515" s="227"/>
      <c r="H515" s="227"/>
      <c r="I515" s="227"/>
    </row>
    <row r="516">
      <c r="A516" s="226"/>
      <c r="B516" s="10"/>
      <c r="C516" s="10"/>
      <c r="G516" s="227"/>
      <c r="H516" s="227"/>
      <c r="I516" s="227"/>
    </row>
    <row r="517">
      <c r="A517" s="226"/>
      <c r="B517" s="10"/>
      <c r="C517" s="10"/>
      <c r="G517" s="227"/>
      <c r="H517" s="227"/>
      <c r="I517" s="227"/>
    </row>
    <row r="518">
      <c r="A518" s="226"/>
      <c r="B518" s="10"/>
      <c r="C518" s="10"/>
      <c r="G518" s="227"/>
      <c r="H518" s="227"/>
      <c r="I518" s="227"/>
    </row>
    <row r="519">
      <c r="A519" s="226"/>
      <c r="B519" s="10"/>
      <c r="C519" s="10"/>
      <c r="G519" s="227"/>
      <c r="H519" s="227"/>
      <c r="I519" s="227"/>
    </row>
    <row r="520">
      <c r="A520" s="226"/>
      <c r="B520" s="10"/>
      <c r="C520" s="10"/>
      <c r="G520" s="227"/>
      <c r="H520" s="227"/>
      <c r="I520" s="227"/>
    </row>
    <row r="521">
      <c r="A521" s="226"/>
      <c r="B521" s="10"/>
      <c r="C521" s="10"/>
      <c r="G521" s="227"/>
      <c r="H521" s="227"/>
      <c r="I521" s="227"/>
    </row>
    <row r="522">
      <c r="A522" s="226"/>
      <c r="B522" s="10"/>
      <c r="C522" s="10"/>
      <c r="G522" s="227"/>
      <c r="H522" s="227"/>
      <c r="I522" s="227"/>
    </row>
    <row r="523">
      <c r="A523" s="226"/>
      <c r="B523" s="10"/>
      <c r="C523" s="10"/>
      <c r="G523" s="227"/>
      <c r="H523" s="227"/>
      <c r="I523" s="227"/>
    </row>
    <row r="524">
      <c r="A524" s="226"/>
      <c r="B524" s="10"/>
      <c r="C524" s="10"/>
      <c r="G524" s="227"/>
      <c r="H524" s="227"/>
      <c r="I524" s="227"/>
    </row>
    <row r="525">
      <c r="A525" s="226"/>
      <c r="B525" s="10"/>
      <c r="C525" s="10"/>
      <c r="G525" s="227"/>
      <c r="H525" s="227"/>
      <c r="I525" s="227"/>
    </row>
    <row r="526">
      <c r="A526" s="226"/>
      <c r="B526" s="10"/>
      <c r="C526" s="10"/>
      <c r="G526" s="227"/>
      <c r="H526" s="227"/>
      <c r="I526" s="227"/>
    </row>
    <row r="527">
      <c r="A527" s="226"/>
      <c r="B527" s="10"/>
      <c r="C527" s="10"/>
      <c r="G527" s="227"/>
      <c r="H527" s="227"/>
      <c r="I527" s="227"/>
    </row>
    <row r="528">
      <c r="A528" s="226"/>
      <c r="B528" s="10"/>
      <c r="C528" s="10"/>
      <c r="G528" s="227"/>
      <c r="H528" s="227"/>
      <c r="I528" s="227"/>
    </row>
    <row r="529">
      <c r="A529" s="226"/>
      <c r="B529" s="10"/>
      <c r="C529" s="10"/>
      <c r="G529" s="227"/>
      <c r="H529" s="227"/>
      <c r="I529" s="227"/>
    </row>
    <row r="530">
      <c r="A530" s="226"/>
      <c r="B530" s="10"/>
      <c r="C530" s="10"/>
      <c r="G530" s="227"/>
      <c r="H530" s="227"/>
      <c r="I530" s="227"/>
    </row>
    <row r="531">
      <c r="A531" s="226"/>
      <c r="B531" s="10"/>
      <c r="C531" s="10"/>
      <c r="G531" s="227"/>
      <c r="H531" s="227"/>
      <c r="I531" s="227"/>
    </row>
    <row r="532">
      <c r="A532" s="226"/>
      <c r="B532" s="10"/>
      <c r="C532" s="10"/>
      <c r="G532" s="227"/>
      <c r="H532" s="227"/>
      <c r="I532" s="227"/>
    </row>
    <row r="533">
      <c r="A533" s="226"/>
      <c r="B533" s="10"/>
      <c r="C533" s="10"/>
      <c r="G533" s="227"/>
      <c r="H533" s="227"/>
      <c r="I533" s="227"/>
    </row>
    <row r="534">
      <c r="A534" s="226"/>
      <c r="B534" s="10"/>
      <c r="C534" s="10"/>
      <c r="G534" s="227"/>
      <c r="H534" s="227"/>
      <c r="I534" s="227"/>
    </row>
    <row r="535">
      <c r="A535" s="226"/>
      <c r="B535" s="10"/>
      <c r="C535" s="10"/>
      <c r="G535" s="227"/>
      <c r="H535" s="227"/>
      <c r="I535" s="227"/>
    </row>
    <row r="536">
      <c r="A536" s="226"/>
      <c r="B536" s="10"/>
      <c r="C536" s="10"/>
      <c r="G536" s="227"/>
      <c r="H536" s="227"/>
      <c r="I536" s="227"/>
    </row>
    <row r="537">
      <c r="A537" s="226"/>
      <c r="B537" s="10"/>
      <c r="C537" s="10"/>
      <c r="G537" s="227"/>
      <c r="H537" s="227"/>
      <c r="I537" s="227"/>
    </row>
    <row r="538">
      <c r="A538" s="226"/>
      <c r="B538" s="10"/>
      <c r="C538" s="10"/>
      <c r="G538" s="227"/>
      <c r="H538" s="227"/>
      <c r="I538" s="227"/>
    </row>
    <row r="539">
      <c r="A539" s="226"/>
      <c r="B539" s="10"/>
      <c r="C539" s="10"/>
      <c r="G539" s="227"/>
      <c r="H539" s="227"/>
      <c r="I539" s="227"/>
    </row>
    <row r="540">
      <c r="A540" s="226"/>
      <c r="B540" s="10"/>
      <c r="C540" s="10"/>
      <c r="G540" s="227"/>
      <c r="H540" s="227"/>
      <c r="I540" s="227"/>
    </row>
    <row r="541">
      <c r="A541" s="226"/>
      <c r="B541" s="10"/>
      <c r="C541" s="10"/>
      <c r="G541" s="227"/>
      <c r="H541" s="227"/>
      <c r="I541" s="227"/>
    </row>
    <row r="542">
      <c r="A542" s="226"/>
      <c r="B542" s="10"/>
      <c r="C542" s="10"/>
      <c r="G542" s="227"/>
      <c r="H542" s="227"/>
      <c r="I542" s="227"/>
    </row>
    <row r="543">
      <c r="A543" s="226"/>
      <c r="B543" s="10"/>
      <c r="C543" s="10"/>
      <c r="G543" s="227"/>
      <c r="H543" s="227"/>
      <c r="I543" s="227"/>
    </row>
    <row r="544">
      <c r="A544" s="226"/>
      <c r="B544" s="10"/>
      <c r="C544" s="10"/>
      <c r="G544" s="227"/>
      <c r="H544" s="227"/>
      <c r="I544" s="227"/>
    </row>
    <row r="545">
      <c r="A545" s="226"/>
      <c r="B545" s="10"/>
      <c r="C545" s="10"/>
      <c r="G545" s="227"/>
      <c r="H545" s="227"/>
      <c r="I545" s="227"/>
    </row>
    <row r="546">
      <c r="A546" s="226"/>
      <c r="B546" s="10"/>
      <c r="C546" s="10"/>
      <c r="G546" s="227"/>
      <c r="H546" s="227"/>
      <c r="I546" s="227"/>
    </row>
    <row r="547">
      <c r="A547" s="226"/>
      <c r="B547" s="10"/>
      <c r="C547" s="10"/>
      <c r="G547" s="227"/>
      <c r="H547" s="227"/>
      <c r="I547" s="227"/>
    </row>
    <row r="548">
      <c r="A548" s="226"/>
      <c r="B548" s="10"/>
      <c r="C548" s="10"/>
      <c r="G548" s="227"/>
      <c r="H548" s="227"/>
      <c r="I548" s="227"/>
    </row>
    <row r="549">
      <c r="A549" s="226"/>
      <c r="B549" s="10"/>
      <c r="C549" s="10"/>
      <c r="G549" s="227"/>
      <c r="H549" s="227"/>
      <c r="I549" s="227"/>
    </row>
    <row r="550">
      <c r="A550" s="226"/>
      <c r="B550" s="10"/>
      <c r="C550" s="10"/>
      <c r="G550" s="227"/>
      <c r="H550" s="227"/>
      <c r="I550" s="227"/>
    </row>
    <row r="551">
      <c r="A551" s="226"/>
      <c r="B551" s="10"/>
      <c r="C551" s="10"/>
      <c r="G551" s="227"/>
      <c r="H551" s="227"/>
      <c r="I551" s="227"/>
    </row>
    <row r="552">
      <c r="A552" s="226"/>
      <c r="B552" s="10"/>
      <c r="C552" s="10"/>
      <c r="G552" s="227"/>
      <c r="H552" s="227"/>
      <c r="I552" s="227"/>
    </row>
    <row r="553">
      <c r="A553" s="226"/>
      <c r="B553" s="10"/>
      <c r="C553" s="10"/>
      <c r="G553" s="227"/>
      <c r="H553" s="227"/>
      <c r="I553" s="227"/>
    </row>
    <row r="554">
      <c r="A554" s="226"/>
      <c r="B554" s="10"/>
      <c r="C554" s="10"/>
      <c r="G554" s="227"/>
      <c r="H554" s="227"/>
      <c r="I554" s="227"/>
    </row>
    <row r="555">
      <c r="A555" s="226"/>
      <c r="B555" s="10"/>
      <c r="C555" s="10"/>
      <c r="G555" s="227"/>
      <c r="H555" s="227"/>
      <c r="I555" s="227"/>
    </row>
    <row r="556">
      <c r="A556" s="226"/>
      <c r="B556" s="10"/>
      <c r="C556" s="10"/>
      <c r="G556" s="227"/>
      <c r="H556" s="227"/>
      <c r="I556" s="227"/>
    </row>
    <row r="557">
      <c r="A557" s="226"/>
      <c r="B557" s="10"/>
      <c r="C557" s="10"/>
      <c r="G557" s="227"/>
      <c r="H557" s="227"/>
      <c r="I557" s="227"/>
    </row>
    <row r="558">
      <c r="A558" s="226"/>
      <c r="B558" s="10"/>
      <c r="C558" s="10"/>
      <c r="G558" s="227"/>
      <c r="H558" s="227"/>
      <c r="I558" s="227"/>
    </row>
    <row r="559">
      <c r="A559" s="226"/>
      <c r="B559" s="10"/>
      <c r="C559" s="10"/>
      <c r="G559" s="227"/>
      <c r="H559" s="227"/>
      <c r="I559" s="227"/>
    </row>
    <row r="560">
      <c r="A560" s="226"/>
      <c r="B560" s="10"/>
      <c r="C560" s="10"/>
      <c r="G560" s="227"/>
      <c r="H560" s="227"/>
      <c r="I560" s="227"/>
    </row>
    <row r="561">
      <c r="A561" s="226"/>
      <c r="B561" s="10"/>
      <c r="C561" s="10"/>
      <c r="G561" s="227"/>
      <c r="H561" s="227"/>
      <c r="I561" s="227"/>
    </row>
    <row r="562">
      <c r="A562" s="226"/>
      <c r="B562" s="10"/>
      <c r="C562" s="10"/>
      <c r="G562" s="227"/>
      <c r="H562" s="227"/>
      <c r="I562" s="227"/>
    </row>
    <row r="563">
      <c r="A563" s="226"/>
      <c r="B563" s="10"/>
      <c r="C563" s="10"/>
      <c r="G563" s="227"/>
      <c r="H563" s="227"/>
      <c r="I563" s="227"/>
    </row>
    <row r="564">
      <c r="A564" s="226"/>
      <c r="B564" s="10"/>
      <c r="C564" s="10"/>
      <c r="G564" s="227"/>
      <c r="H564" s="227"/>
      <c r="I564" s="227"/>
    </row>
    <row r="565">
      <c r="A565" s="226"/>
      <c r="B565" s="10"/>
      <c r="C565" s="10"/>
      <c r="G565" s="227"/>
      <c r="H565" s="227"/>
      <c r="I565" s="227"/>
    </row>
    <row r="566">
      <c r="A566" s="226"/>
      <c r="B566" s="10"/>
      <c r="C566" s="10"/>
      <c r="G566" s="227"/>
      <c r="H566" s="227"/>
      <c r="I566" s="227"/>
    </row>
    <row r="567">
      <c r="A567" s="226"/>
      <c r="B567" s="10"/>
      <c r="C567" s="10"/>
      <c r="G567" s="227"/>
      <c r="H567" s="227"/>
      <c r="I567" s="227"/>
    </row>
    <row r="568">
      <c r="A568" s="226"/>
      <c r="B568" s="10"/>
      <c r="C568" s="10"/>
      <c r="G568" s="227"/>
      <c r="H568" s="227"/>
      <c r="I568" s="227"/>
    </row>
    <row r="569">
      <c r="A569" s="226"/>
      <c r="B569" s="10"/>
      <c r="C569" s="10"/>
      <c r="G569" s="227"/>
      <c r="H569" s="227"/>
      <c r="I569" s="227"/>
    </row>
    <row r="570">
      <c r="A570" s="226"/>
      <c r="B570" s="10"/>
      <c r="C570" s="10"/>
      <c r="G570" s="227"/>
      <c r="H570" s="227"/>
      <c r="I570" s="227"/>
    </row>
    <row r="571">
      <c r="A571" s="226"/>
      <c r="B571" s="10"/>
      <c r="C571" s="10"/>
      <c r="G571" s="227"/>
      <c r="H571" s="227"/>
      <c r="I571" s="227"/>
    </row>
    <row r="572">
      <c r="A572" s="226"/>
      <c r="B572" s="10"/>
      <c r="C572" s="10"/>
      <c r="G572" s="227"/>
      <c r="H572" s="227"/>
      <c r="I572" s="227"/>
    </row>
    <row r="573">
      <c r="A573" s="226"/>
      <c r="B573" s="10"/>
      <c r="C573" s="10"/>
      <c r="G573" s="227"/>
      <c r="H573" s="227"/>
      <c r="I573" s="227"/>
    </row>
    <row r="574">
      <c r="A574" s="226"/>
      <c r="B574" s="10"/>
      <c r="C574" s="10"/>
      <c r="G574" s="227"/>
      <c r="H574" s="227"/>
      <c r="I574" s="227"/>
    </row>
    <row r="575">
      <c r="A575" s="226"/>
      <c r="B575" s="10"/>
      <c r="C575" s="10"/>
      <c r="G575" s="227"/>
      <c r="H575" s="227"/>
      <c r="I575" s="227"/>
    </row>
    <row r="576">
      <c r="A576" s="226"/>
      <c r="B576" s="10"/>
      <c r="C576" s="10"/>
      <c r="G576" s="227"/>
      <c r="H576" s="227"/>
      <c r="I576" s="227"/>
    </row>
    <row r="577">
      <c r="A577" s="226"/>
      <c r="B577" s="10"/>
      <c r="C577" s="10"/>
      <c r="G577" s="227"/>
      <c r="H577" s="227"/>
      <c r="I577" s="227"/>
    </row>
    <row r="578">
      <c r="A578" s="226"/>
      <c r="B578" s="10"/>
      <c r="C578" s="10"/>
      <c r="G578" s="227"/>
      <c r="H578" s="227"/>
      <c r="I578" s="227"/>
    </row>
    <row r="579">
      <c r="A579" s="226"/>
      <c r="B579" s="10"/>
      <c r="C579" s="10"/>
      <c r="G579" s="227"/>
      <c r="H579" s="227"/>
      <c r="I579" s="227"/>
    </row>
    <row r="580">
      <c r="A580" s="226"/>
      <c r="B580" s="10"/>
      <c r="C580" s="10"/>
      <c r="G580" s="227"/>
      <c r="H580" s="227"/>
      <c r="I580" s="227"/>
    </row>
    <row r="581">
      <c r="A581" s="226"/>
      <c r="B581" s="10"/>
      <c r="C581" s="10"/>
      <c r="G581" s="227"/>
      <c r="H581" s="227"/>
      <c r="I581" s="227"/>
    </row>
    <row r="582">
      <c r="A582" s="226"/>
      <c r="B582" s="10"/>
      <c r="C582" s="10"/>
      <c r="G582" s="227"/>
      <c r="H582" s="227"/>
      <c r="I582" s="227"/>
    </row>
    <row r="583">
      <c r="A583" s="226"/>
      <c r="B583" s="10"/>
      <c r="C583" s="10"/>
      <c r="G583" s="227"/>
      <c r="H583" s="227"/>
      <c r="I583" s="227"/>
    </row>
    <row r="584">
      <c r="A584" s="226"/>
      <c r="B584" s="10"/>
      <c r="C584" s="10"/>
      <c r="G584" s="227"/>
      <c r="H584" s="227"/>
      <c r="I584" s="227"/>
    </row>
    <row r="585">
      <c r="A585" s="226"/>
      <c r="B585" s="10"/>
      <c r="C585" s="10"/>
      <c r="G585" s="227"/>
      <c r="H585" s="227"/>
      <c r="I585" s="227"/>
    </row>
    <row r="586">
      <c r="A586" s="226"/>
      <c r="B586" s="10"/>
      <c r="C586" s="10"/>
      <c r="G586" s="227"/>
      <c r="H586" s="227"/>
      <c r="I586" s="227"/>
    </row>
    <row r="587">
      <c r="A587" s="226"/>
      <c r="B587" s="10"/>
      <c r="C587" s="10"/>
      <c r="G587" s="227"/>
      <c r="H587" s="227"/>
      <c r="I587" s="227"/>
    </row>
    <row r="588">
      <c r="A588" s="226"/>
      <c r="B588" s="10"/>
      <c r="C588" s="10"/>
      <c r="G588" s="227"/>
      <c r="H588" s="227"/>
      <c r="I588" s="227"/>
    </row>
    <row r="589">
      <c r="A589" s="226"/>
      <c r="B589" s="10"/>
      <c r="C589" s="10"/>
      <c r="G589" s="227"/>
      <c r="H589" s="227"/>
      <c r="I589" s="227"/>
    </row>
    <row r="590">
      <c r="A590" s="226"/>
      <c r="B590" s="10"/>
      <c r="C590" s="10"/>
      <c r="G590" s="227"/>
      <c r="H590" s="227"/>
      <c r="I590" s="227"/>
    </row>
    <row r="591">
      <c r="A591" s="226"/>
      <c r="B591" s="10"/>
      <c r="C591" s="10"/>
      <c r="G591" s="227"/>
      <c r="H591" s="227"/>
      <c r="I591" s="227"/>
    </row>
    <row r="592">
      <c r="A592" s="226"/>
      <c r="B592" s="10"/>
      <c r="C592" s="10"/>
      <c r="G592" s="227"/>
      <c r="H592" s="227"/>
      <c r="I592" s="227"/>
    </row>
    <row r="593">
      <c r="A593" s="226"/>
      <c r="B593" s="10"/>
      <c r="C593" s="10"/>
      <c r="G593" s="227"/>
      <c r="H593" s="227"/>
      <c r="I593" s="227"/>
    </row>
    <row r="594">
      <c r="A594" s="226"/>
      <c r="B594" s="10"/>
      <c r="C594" s="10"/>
      <c r="G594" s="227"/>
      <c r="H594" s="227"/>
      <c r="I594" s="227"/>
    </row>
    <row r="595">
      <c r="A595" s="226"/>
      <c r="B595" s="10"/>
      <c r="C595" s="10"/>
      <c r="G595" s="227"/>
      <c r="H595" s="227"/>
      <c r="I595" s="227"/>
    </row>
    <row r="596">
      <c r="A596" s="226"/>
      <c r="B596" s="10"/>
      <c r="C596" s="10"/>
      <c r="G596" s="227"/>
      <c r="H596" s="227"/>
      <c r="I596" s="227"/>
    </row>
    <row r="597">
      <c r="A597" s="226"/>
      <c r="B597" s="10"/>
      <c r="C597" s="10"/>
      <c r="G597" s="227"/>
      <c r="H597" s="227"/>
      <c r="I597" s="227"/>
    </row>
    <row r="598">
      <c r="A598" s="226"/>
      <c r="B598" s="10"/>
      <c r="C598" s="10"/>
      <c r="G598" s="227"/>
      <c r="H598" s="227"/>
      <c r="I598" s="227"/>
    </row>
    <row r="599">
      <c r="A599" s="226"/>
      <c r="B599" s="10"/>
      <c r="C599" s="10"/>
      <c r="G599" s="227"/>
      <c r="H599" s="227"/>
      <c r="I599" s="227"/>
    </row>
    <row r="600">
      <c r="A600" s="226"/>
      <c r="B600" s="10"/>
      <c r="C600" s="10"/>
      <c r="G600" s="227"/>
      <c r="H600" s="227"/>
      <c r="I600" s="227"/>
    </row>
    <row r="601">
      <c r="A601" s="226"/>
      <c r="B601" s="10"/>
      <c r="C601" s="10"/>
      <c r="G601" s="227"/>
      <c r="H601" s="227"/>
      <c r="I601" s="227"/>
    </row>
    <row r="602">
      <c r="A602" s="226"/>
      <c r="B602" s="10"/>
      <c r="C602" s="10"/>
      <c r="G602" s="227"/>
      <c r="H602" s="227"/>
      <c r="I602" s="227"/>
    </row>
    <row r="603">
      <c r="A603" s="226"/>
      <c r="B603" s="10"/>
      <c r="C603" s="10"/>
      <c r="G603" s="227"/>
      <c r="H603" s="227"/>
      <c r="I603" s="227"/>
    </row>
    <row r="604">
      <c r="A604" s="226"/>
      <c r="B604" s="10"/>
      <c r="C604" s="10"/>
      <c r="G604" s="227"/>
      <c r="H604" s="227"/>
      <c r="I604" s="227"/>
    </row>
    <row r="605">
      <c r="A605" s="226"/>
      <c r="B605" s="10"/>
      <c r="C605" s="10"/>
      <c r="G605" s="227"/>
      <c r="H605" s="227"/>
      <c r="I605" s="227"/>
    </row>
    <row r="606">
      <c r="A606" s="226"/>
      <c r="B606" s="10"/>
      <c r="C606" s="10"/>
      <c r="G606" s="227"/>
      <c r="H606" s="227"/>
      <c r="I606" s="227"/>
    </row>
    <row r="607">
      <c r="A607" s="226"/>
      <c r="B607" s="10"/>
      <c r="C607" s="10"/>
      <c r="G607" s="227"/>
      <c r="H607" s="227"/>
      <c r="I607" s="227"/>
    </row>
    <row r="608">
      <c r="A608" s="226"/>
      <c r="B608" s="10"/>
      <c r="C608" s="10"/>
      <c r="G608" s="227"/>
      <c r="H608" s="227"/>
      <c r="I608" s="227"/>
    </row>
    <row r="609">
      <c r="A609" s="226"/>
      <c r="B609" s="10"/>
      <c r="C609" s="10"/>
      <c r="G609" s="227"/>
      <c r="H609" s="227"/>
      <c r="I609" s="227"/>
    </row>
    <row r="610">
      <c r="A610" s="226"/>
      <c r="B610" s="10"/>
      <c r="C610" s="10"/>
      <c r="G610" s="227"/>
      <c r="H610" s="227"/>
      <c r="I610" s="227"/>
    </row>
    <row r="611">
      <c r="A611" s="226"/>
      <c r="B611" s="10"/>
      <c r="C611" s="10"/>
      <c r="G611" s="227"/>
      <c r="H611" s="227"/>
      <c r="I611" s="227"/>
    </row>
    <row r="612">
      <c r="A612" s="226"/>
      <c r="B612" s="10"/>
      <c r="C612" s="10"/>
      <c r="G612" s="227"/>
      <c r="H612" s="227"/>
      <c r="I612" s="227"/>
    </row>
    <row r="613">
      <c r="A613" s="226"/>
      <c r="B613" s="10"/>
      <c r="C613" s="10"/>
      <c r="G613" s="227"/>
      <c r="H613" s="227"/>
      <c r="I613" s="227"/>
    </row>
    <row r="614">
      <c r="A614" s="226"/>
      <c r="B614" s="10"/>
      <c r="C614" s="10"/>
      <c r="G614" s="227"/>
      <c r="H614" s="227"/>
      <c r="I614" s="227"/>
    </row>
    <row r="615">
      <c r="A615" s="226"/>
      <c r="B615" s="10"/>
      <c r="C615" s="10"/>
      <c r="G615" s="227"/>
      <c r="H615" s="227"/>
      <c r="I615" s="227"/>
    </row>
    <row r="616">
      <c r="A616" s="226"/>
      <c r="B616" s="10"/>
      <c r="C616" s="10"/>
      <c r="G616" s="227"/>
      <c r="H616" s="227"/>
      <c r="I616" s="227"/>
    </row>
    <row r="617">
      <c r="A617" s="226"/>
      <c r="B617" s="10"/>
      <c r="C617" s="10"/>
      <c r="G617" s="227"/>
      <c r="H617" s="227"/>
      <c r="I617" s="227"/>
    </row>
    <row r="618">
      <c r="A618" s="226"/>
      <c r="B618" s="10"/>
      <c r="C618" s="10"/>
      <c r="G618" s="227"/>
      <c r="H618" s="227"/>
      <c r="I618" s="227"/>
    </row>
    <row r="619">
      <c r="A619" s="226"/>
      <c r="B619" s="10"/>
      <c r="C619" s="10"/>
      <c r="G619" s="227"/>
      <c r="H619" s="227"/>
      <c r="I619" s="227"/>
    </row>
    <row r="620">
      <c r="A620" s="226"/>
      <c r="B620" s="10"/>
      <c r="C620" s="10"/>
      <c r="G620" s="227"/>
      <c r="H620" s="227"/>
      <c r="I620" s="227"/>
    </row>
    <row r="621">
      <c r="A621" s="226"/>
      <c r="B621" s="10"/>
      <c r="C621" s="10"/>
      <c r="G621" s="227"/>
      <c r="H621" s="227"/>
      <c r="I621" s="227"/>
    </row>
    <row r="622">
      <c r="A622" s="226"/>
      <c r="B622" s="10"/>
      <c r="C622" s="10"/>
      <c r="G622" s="227"/>
      <c r="H622" s="227"/>
      <c r="I622" s="227"/>
    </row>
    <row r="623">
      <c r="A623" s="226"/>
      <c r="B623" s="10"/>
      <c r="C623" s="10"/>
      <c r="G623" s="227"/>
      <c r="H623" s="227"/>
      <c r="I623" s="227"/>
    </row>
    <row r="624">
      <c r="A624" s="226"/>
      <c r="B624" s="10"/>
      <c r="C624" s="10"/>
      <c r="G624" s="227"/>
      <c r="H624" s="227"/>
      <c r="I624" s="227"/>
    </row>
    <row r="625">
      <c r="A625" s="226"/>
      <c r="B625" s="10"/>
      <c r="C625" s="10"/>
      <c r="G625" s="227"/>
      <c r="H625" s="227"/>
      <c r="I625" s="227"/>
    </row>
    <row r="626">
      <c r="A626" s="226"/>
      <c r="B626" s="10"/>
      <c r="C626" s="10"/>
      <c r="G626" s="227"/>
      <c r="H626" s="227"/>
      <c r="I626" s="227"/>
    </row>
    <row r="627">
      <c r="A627" s="226"/>
      <c r="B627" s="10"/>
      <c r="C627" s="10"/>
      <c r="G627" s="227"/>
      <c r="H627" s="227"/>
      <c r="I627" s="227"/>
    </row>
    <row r="628">
      <c r="A628" s="226"/>
      <c r="B628" s="10"/>
      <c r="C628" s="10"/>
      <c r="G628" s="227"/>
      <c r="H628" s="227"/>
      <c r="I628" s="227"/>
    </row>
    <row r="629">
      <c r="A629" s="226"/>
      <c r="B629" s="10"/>
      <c r="C629" s="10"/>
      <c r="G629" s="227"/>
      <c r="H629" s="227"/>
      <c r="I629" s="227"/>
    </row>
    <row r="630">
      <c r="A630" s="226"/>
      <c r="B630" s="10"/>
      <c r="C630" s="10"/>
      <c r="G630" s="227"/>
      <c r="H630" s="227"/>
      <c r="I630" s="227"/>
    </row>
    <row r="631">
      <c r="A631" s="226"/>
      <c r="B631" s="10"/>
      <c r="C631" s="10"/>
      <c r="G631" s="227"/>
      <c r="H631" s="227"/>
      <c r="I631" s="227"/>
    </row>
    <row r="632">
      <c r="A632" s="226"/>
      <c r="B632" s="10"/>
      <c r="C632" s="10"/>
      <c r="G632" s="227"/>
      <c r="H632" s="227"/>
      <c r="I632" s="227"/>
    </row>
    <row r="633">
      <c r="A633" s="226"/>
      <c r="B633" s="10"/>
      <c r="C633" s="10"/>
      <c r="G633" s="227"/>
      <c r="H633" s="227"/>
      <c r="I633" s="227"/>
    </row>
    <row r="634">
      <c r="A634" s="226"/>
      <c r="B634" s="10"/>
      <c r="C634" s="10"/>
      <c r="G634" s="227"/>
      <c r="H634" s="227"/>
      <c r="I634" s="227"/>
    </row>
    <row r="635">
      <c r="A635" s="226"/>
      <c r="B635" s="10"/>
      <c r="C635" s="10"/>
      <c r="G635" s="227"/>
      <c r="H635" s="227"/>
      <c r="I635" s="227"/>
    </row>
    <row r="636">
      <c r="A636" s="226"/>
      <c r="B636" s="10"/>
      <c r="C636" s="10"/>
      <c r="G636" s="227"/>
      <c r="H636" s="227"/>
      <c r="I636" s="227"/>
    </row>
    <row r="637">
      <c r="A637" s="226"/>
      <c r="B637" s="10"/>
      <c r="C637" s="10"/>
      <c r="G637" s="227"/>
      <c r="H637" s="227"/>
      <c r="I637" s="227"/>
    </row>
    <row r="638">
      <c r="A638" s="226"/>
      <c r="B638" s="10"/>
      <c r="C638" s="10"/>
      <c r="G638" s="227"/>
      <c r="H638" s="227"/>
      <c r="I638" s="227"/>
    </row>
    <row r="639">
      <c r="A639" s="226"/>
      <c r="B639" s="10"/>
      <c r="C639" s="10"/>
      <c r="G639" s="227"/>
      <c r="H639" s="227"/>
      <c r="I639" s="227"/>
    </row>
    <row r="640">
      <c r="A640" s="226"/>
      <c r="B640" s="10"/>
      <c r="C640" s="10"/>
      <c r="G640" s="227"/>
      <c r="H640" s="227"/>
      <c r="I640" s="227"/>
    </row>
    <row r="641">
      <c r="A641" s="226"/>
      <c r="B641" s="10"/>
      <c r="C641" s="10"/>
      <c r="G641" s="227"/>
      <c r="H641" s="227"/>
      <c r="I641" s="227"/>
    </row>
    <row r="642">
      <c r="A642" s="226"/>
      <c r="B642" s="10"/>
      <c r="C642" s="10"/>
      <c r="G642" s="227"/>
      <c r="H642" s="227"/>
      <c r="I642" s="227"/>
    </row>
    <row r="643">
      <c r="A643" s="226"/>
      <c r="B643" s="10"/>
      <c r="C643" s="10"/>
      <c r="G643" s="227"/>
      <c r="H643" s="227"/>
      <c r="I643" s="227"/>
    </row>
    <row r="644">
      <c r="A644" s="226"/>
      <c r="B644" s="10"/>
      <c r="C644" s="10"/>
      <c r="G644" s="227"/>
      <c r="H644" s="227"/>
      <c r="I644" s="227"/>
    </row>
    <row r="645">
      <c r="A645" s="226"/>
      <c r="B645" s="10"/>
      <c r="C645" s="10"/>
      <c r="G645" s="227"/>
      <c r="H645" s="227"/>
      <c r="I645" s="227"/>
    </row>
    <row r="646">
      <c r="A646" s="226"/>
      <c r="B646" s="10"/>
      <c r="C646" s="10"/>
      <c r="G646" s="227"/>
      <c r="H646" s="227"/>
      <c r="I646" s="227"/>
    </row>
    <row r="647">
      <c r="A647" s="226"/>
      <c r="B647" s="10"/>
      <c r="C647" s="10"/>
      <c r="G647" s="227"/>
      <c r="H647" s="227"/>
      <c r="I647" s="227"/>
    </row>
    <row r="648">
      <c r="A648" s="226"/>
      <c r="B648" s="10"/>
      <c r="C648" s="10"/>
      <c r="G648" s="227"/>
      <c r="H648" s="227"/>
      <c r="I648" s="227"/>
    </row>
    <row r="649">
      <c r="A649" s="226"/>
      <c r="B649" s="10"/>
      <c r="C649" s="10"/>
      <c r="G649" s="227"/>
      <c r="H649" s="227"/>
      <c r="I649" s="227"/>
    </row>
    <row r="650">
      <c r="A650" s="226"/>
      <c r="B650" s="10"/>
      <c r="C650" s="10"/>
      <c r="G650" s="227"/>
      <c r="H650" s="227"/>
      <c r="I650" s="227"/>
    </row>
    <row r="651">
      <c r="A651" s="226"/>
      <c r="B651" s="10"/>
      <c r="C651" s="10"/>
      <c r="G651" s="227"/>
      <c r="H651" s="227"/>
      <c r="I651" s="227"/>
    </row>
    <row r="652">
      <c r="A652" s="226"/>
      <c r="B652" s="10"/>
      <c r="C652" s="10"/>
      <c r="G652" s="227"/>
      <c r="H652" s="227"/>
      <c r="I652" s="227"/>
    </row>
    <row r="653">
      <c r="A653" s="226"/>
      <c r="B653" s="10"/>
      <c r="C653" s="10"/>
      <c r="G653" s="227"/>
      <c r="H653" s="227"/>
      <c r="I653" s="227"/>
    </row>
    <row r="654">
      <c r="A654" s="226"/>
      <c r="B654" s="10"/>
      <c r="C654" s="10"/>
      <c r="G654" s="227"/>
      <c r="H654" s="227"/>
      <c r="I654" s="227"/>
    </row>
    <row r="655">
      <c r="A655" s="226"/>
      <c r="B655" s="10"/>
      <c r="C655" s="10"/>
      <c r="G655" s="227"/>
      <c r="H655" s="227"/>
      <c r="I655" s="227"/>
    </row>
    <row r="656">
      <c r="A656" s="226"/>
      <c r="B656" s="10"/>
      <c r="C656" s="10"/>
      <c r="G656" s="227"/>
      <c r="H656" s="227"/>
      <c r="I656" s="227"/>
    </row>
    <row r="657">
      <c r="A657" s="226"/>
      <c r="B657" s="10"/>
      <c r="C657" s="10"/>
      <c r="G657" s="227"/>
      <c r="H657" s="227"/>
      <c r="I657" s="227"/>
    </row>
    <row r="658">
      <c r="A658" s="226"/>
      <c r="B658" s="10"/>
      <c r="C658" s="10"/>
      <c r="G658" s="227"/>
      <c r="H658" s="227"/>
      <c r="I658" s="227"/>
    </row>
    <row r="659">
      <c r="A659" s="226"/>
      <c r="B659" s="10"/>
      <c r="C659" s="10"/>
      <c r="G659" s="227"/>
      <c r="H659" s="227"/>
      <c r="I659" s="227"/>
    </row>
    <row r="660">
      <c r="A660" s="226"/>
      <c r="B660" s="10"/>
      <c r="C660" s="10"/>
      <c r="G660" s="227"/>
      <c r="H660" s="227"/>
      <c r="I660" s="227"/>
    </row>
    <row r="661">
      <c r="A661" s="226"/>
      <c r="B661" s="10"/>
      <c r="C661" s="10"/>
      <c r="G661" s="227"/>
      <c r="H661" s="227"/>
      <c r="I661" s="227"/>
    </row>
    <row r="662">
      <c r="A662" s="226"/>
      <c r="B662" s="10"/>
      <c r="C662" s="10"/>
      <c r="G662" s="227"/>
      <c r="H662" s="227"/>
      <c r="I662" s="227"/>
    </row>
    <row r="663">
      <c r="A663" s="226"/>
      <c r="B663" s="10"/>
      <c r="C663" s="10"/>
      <c r="G663" s="227"/>
      <c r="H663" s="227"/>
      <c r="I663" s="227"/>
    </row>
    <row r="664">
      <c r="A664" s="226"/>
      <c r="B664" s="10"/>
      <c r="C664" s="10"/>
      <c r="G664" s="227"/>
      <c r="H664" s="227"/>
      <c r="I664" s="227"/>
    </row>
    <row r="665">
      <c r="A665" s="226"/>
      <c r="B665" s="10"/>
      <c r="C665" s="10"/>
      <c r="G665" s="227"/>
      <c r="H665" s="227"/>
      <c r="I665" s="227"/>
    </row>
    <row r="666">
      <c r="A666" s="226"/>
      <c r="B666" s="10"/>
      <c r="C666" s="10"/>
      <c r="G666" s="227"/>
      <c r="H666" s="227"/>
      <c r="I666" s="227"/>
    </row>
    <row r="667">
      <c r="A667" s="226"/>
      <c r="B667" s="10"/>
      <c r="C667" s="10"/>
      <c r="G667" s="227"/>
      <c r="H667" s="227"/>
      <c r="I667" s="227"/>
    </row>
    <row r="668">
      <c r="A668" s="226"/>
      <c r="B668" s="10"/>
      <c r="C668" s="10"/>
      <c r="G668" s="227"/>
      <c r="H668" s="227"/>
      <c r="I668" s="227"/>
    </row>
    <row r="669">
      <c r="A669" s="226"/>
      <c r="B669" s="10"/>
      <c r="C669" s="10"/>
      <c r="G669" s="227"/>
      <c r="H669" s="227"/>
      <c r="I669" s="227"/>
    </row>
    <row r="670">
      <c r="A670" s="226"/>
      <c r="B670" s="10"/>
      <c r="C670" s="10"/>
      <c r="G670" s="227"/>
      <c r="H670" s="227"/>
      <c r="I670" s="227"/>
    </row>
    <row r="671">
      <c r="A671" s="226"/>
      <c r="B671" s="10"/>
      <c r="C671" s="10"/>
      <c r="G671" s="227"/>
      <c r="H671" s="227"/>
      <c r="I671" s="227"/>
    </row>
    <row r="672">
      <c r="A672" s="226"/>
      <c r="B672" s="10"/>
      <c r="C672" s="10"/>
      <c r="G672" s="227"/>
      <c r="H672" s="227"/>
      <c r="I672" s="227"/>
    </row>
    <row r="673">
      <c r="A673" s="226"/>
      <c r="B673" s="10"/>
      <c r="C673" s="10"/>
      <c r="G673" s="227"/>
      <c r="H673" s="227"/>
      <c r="I673" s="227"/>
    </row>
    <row r="674">
      <c r="A674" s="226"/>
      <c r="B674" s="10"/>
      <c r="C674" s="10"/>
      <c r="G674" s="227"/>
      <c r="H674" s="227"/>
      <c r="I674" s="227"/>
    </row>
    <row r="675">
      <c r="A675" s="226"/>
      <c r="B675" s="10"/>
      <c r="C675" s="10"/>
      <c r="G675" s="227"/>
      <c r="H675" s="227"/>
      <c r="I675" s="227"/>
    </row>
    <row r="676">
      <c r="A676" s="226"/>
      <c r="B676" s="10"/>
      <c r="C676" s="10"/>
      <c r="G676" s="227"/>
      <c r="H676" s="227"/>
      <c r="I676" s="227"/>
    </row>
    <row r="677">
      <c r="A677" s="226"/>
      <c r="B677" s="10"/>
      <c r="C677" s="10"/>
      <c r="G677" s="227"/>
      <c r="H677" s="227"/>
      <c r="I677" s="227"/>
    </row>
    <row r="678">
      <c r="A678" s="226"/>
      <c r="B678" s="10"/>
      <c r="C678" s="10"/>
      <c r="G678" s="227"/>
      <c r="H678" s="227"/>
      <c r="I678" s="227"/>
    </row>
    <row r="679">
      <c r="A679" s="226"/>
      <c r="B679" s="10"/>
      <c r="C679" s="10"/>
      <c r="G679" s="227"/>
      <c r="H679" s="227"/>
      <c r="I679" s="227"/>
    </row>
    <row r="680">
      <c r="A680" s="226"/>
      <c r="B680" s="10"/>
      <c r="C680" s="10"/>
      <c r="G680" s="227"/>
      <c r="H680" s="227"/>
      <c r="I680" s="227"/>
    </row>
    <row r="681">
      <c r="A681" s="226"/>
      <c r="B681" s="10"/>
      <c r="C681" s="10"/>
      <c r="G681" s="227"/>
      <c r="H681" s="227"/>
      <c r="I681" s="227"/>
    </row>
    <row r="682">
      <c r="A682" s="226"/>
      <c r="B682" s="10"/>
      <c r="C682" s="10"/>
      <c r="G682" s="227"/>
      <c r="H682" s="227"/>
      <c r="I682" s="227"/>
    </row>
    <row r="683">
      <c r="A683" s="226"/>
      <c r="B683" s="10"/>
      <c r="C683" s="10"/>
      <c r="G683" s="227"/>
      <c r="H683" s="227"/>
      <c r="I683" s="227"/>
    </row>
    <row r="684">
      <c r="A684" s="226"/>
      <c r="B684" s="10"/>
      <c r="C684" s="10"/>
      <c r="G684" s="227"/>
      <c r="H684" s="227"/>
      <c r="I684" s="227"/>
    </row>
    <row r="685">
      <c r="A685" s="226"/>
      <c r="B685" s="10"/>
      <c r="C685" s="10"/>
      <c r="G685" s="227"/>
      <c r="H685" s="227"/>
      <c r="I685" s="227"/>
    </row>
    <row r="686">
      <c r="A686" s="226"/>
      <c r="B686" s="10"/>
      <c r="C686" s="10"/>
      <c r="G686" s="227"/>
      <c r="H686" s="227"/>
      <c r="I686" s="227"/>
    </row>
    <row r="687">
      <c r="A687" s="226"/>
      <c r="B687" s="10"/>
      <c r="C687" s="10"/>
      <c r="G687" s="227"/>
      <c r="H687" s="227"/>
      <c r="I687" s="227"/>
    </row>
    <row r="688">
      <c r="A688" s="226"/>
      <c r="B688" s="10"/>
      <c r="C688" s="10"/>
      <c r="G688" s="227"/>
      <c r="H688" s="227"/>
      <c r="I688" s="227"/>
    </row>
    <row r="689">
      <c r="A689" s="226"/>
      <c r="B689" s="10"/>
      <c r="C689" s="10"/>
      <c r="G689" s="227"/>
      <c r="H689" s="227"/>
      <c r="I689" s="227"/>
    </row>
    <row r="690">
      <c r="A690" s="226"/>
      <c r="B690" s="10"/>
      <c r="C690" s="10"/>
      <c r="G690" s="227"/>
      <c r="H690" s="227"/>
      <c r="I690" s="227"/>
    </row>
    <row r="691">
      <c r="A691" s="226"/>
      <c r="B691" s="10"/>
      <c r="C691" s="10"/>
      <c r="G691" s="227"/>
      <c r="H691" s="227"/>
      <c r="I691" s="227"/>
    </row>
    <row r="692">
      <c r="A692" s="226"/>
      <c r="B692" s="10"/>
      <c r="C692" s="10"/>
      <c r="G692" s="227"/>
      <c r="H692" s="227"/>
      <c r="I692" s="227"/>
    </row>
    <row r="693">
      <c r="A693" s="226"/>
      <c r="B693" s="10"/>
      <c r="C693" s="10"/>
      <c r="G693" s="227"/>
      <c r="H693" s="227"/>
      <c r="I693" s="227"/>
    </row>
    <row r="694">
      <c r="A694" s="226"/>
      <c r="B694" s="10"/>
      <c r="C694" s="10"/>
      <c r="G694" s="227"/>
      <c r="H694" s="227"/>
      <c r="I694" s="227"/>
    </row>
    <row r="695">
      <c r="A695" s="226"/>
      <c r="B695" s="10"/>
      <c r="C695" s="10"/>
      <c r="G695" s="227"/>
      <c r="H695" s="227"/>
      <c r="I695" s="227"/>
    </row>
    <row r="696">
      <c r="A696" s="226"/>
      <c r="B696" s="10"/>
      <c r="C696" s="10"/>
      <c r="G696" s="227"/>
      <c r="H696" s="227"/>
      <c r="I696" s="227"/>
    </row>
    <row r="697">
      <c r="A697" s="226"/>
      <c r="B697" s="10"/>
      <c r="C697" s="10"/>
      <c r="G697" s="227"/>
      <c r="H697" s="227"/>
      <c r="I697" s="227"/>
    </row>
    <row r="698">
      <c r="A698" s="226"/>
      <c r="B698" s="10"/>
      <c r="C698" s="10"/>
      <c r="G698" s="227"/>
      <c r="H698" s="227"/>
      <c r="I698" s="227"/>
    </row>
    <row r="699">
      <c r="A699" s="226"/>
      <c r="B699" s="10"/>
      <c r="C699" s="10"/>
      <c r="G699" s="227"/>
      <c r="H699" s="227"/>
      <c r="I699" s="227"/>
    </row>
    <row r="700">
      <c r="A700" s="226"/>
      <c r="B700" s="10"/>
      <c r="C700" s="10"/>
      <c r="G700" s="227"/>
      <c r="H700" s="227"/>
      <c r="I700" s="227"/>
    </row>
    <row r="701">
      <c r="A701" s="226"/>
      <c r="B701" s="10"/>
      <c r="C701" s="10"/>
      <c r="G701" s="227"/>
      <c r="H701" s="227"/>
      <c r="I701" s="227"/>
    </row>
    <row r="702">
      <c r="A702" s="226"/>
      <c r="B702" s="10"/>
      <c r="C702" s="10"/>
      <c r="G702" s="227"/>
      <c r="H702" s="227"/>
      <c r="I702" s="227"/>
    </row>
    <row r="703">
      <c r="A703" s="226"/>
      <c r="B703" s="10"/>
      <c r="C703" s="10"/>
      <c r="G703" s="227"/>
      <c r="H703" s="227"/>
      <c r="I703" s="227"/>
    </row>
    <row r="704">
      <c r="A704" s="226"/>
      <c r="B704" s="10"/>
      <c r="C704" s="10"/>
      <c r="G704" s="227"/>
      <c r="H704" s="227"/>
      <c r="I704" s="227"/>
    </row>
    <row r="705">
      <c r="A705" s="226"/>
      <c r="B705" s="10"/>
      <c r="C705" s="10"/>
      <c r="G705" s="227"/>
      <c r="H705" s="227"/>
      <c r="I705" s="227"/>
    </row>
    <row r="706">
      <c r="A706" s="226"/>
      <c r="B706" s="10"/>
      <c r="C706" s="10"/>
      <c r="G706" s="227"/>
      <c r="H706" s="227"/>
      <c r="I706" s="227"/>
    </row>
    <row r="707">
      <c r="A707" s="226"/>
      <c r="B707" s="10"/>
      <c r="C707" s="10"/>
      <c r="G707" s="227"/>
      <c r="H707" s="227"/>
      <c r="I707" s="227"/>
    </row>
    <row r="708">
      <c r="A708" s="226"/>
      <c r="B708" s="10"/>
      <c r="C708" s="10"/>
      <c r="G708" s="227"/>
      <c r="H708" s="227"/>
      <c r="I708" s="227"/>
    </row>
    <row r="709">
      <c r="A709" s="226"/>
      <c r="B709" s="10"/>
      <c r="C709" s="10"/>
      <c r="G709" s="227"/>
      <c r="H709" s="227"/>
      <c r="I709" s="227"/>
    </row>
    <row r="710">
      <c r="A710" s="226"/>
      <c r="B710" s="10"/>
      <c r="C710" s="10"/>
      <c r="G710" s="227"/>
      <c r="H710" s="227"/>
      <c r="I710" s="227"/>
    </row>
    <row r="711">
      <c r="A711" s="226"/>
      <c r="B711" s="10"/>
      <c r="C711" s="10"/>
      <c r="G711" s="227"/>
      <c r="H711" s="227"/>
      <c r="I711" s="227"/>
    </row>
    <row r="712">
      <c r="A712" s="226"/>
      <c r="B712" s="10"/>
      <c r="C712" s="10"/>
      <c r="G712" s="227"/>
      <c r="H712" s="227"/>
      <c r="I712" s="227"/>
    </row>
    <row r="713">
      <c r="A713" s="226"/>
      <c r="B713" s="10"/>
      <c r="C713" s="10"/>
      <c r="G713" s="227"/>
      <c r="H713" s="227"/>
      <c r="I713" s="227"/>
    </row>
    <row r="714">
      <c r="A714" s="226"/>
      <c r="B714" s="10"/>
      <c r="C714" s="10"/>
      <c r="G714" s="227"/>
      <c r="H714" s="227"/>
      <c r="I714" s="227"/>
    </row>
    <row r="715">
      <c r="A715" s="226"/>
      <c r="B715" s="10"/>
      <c r="C715" s="10"/>
      <c r="G715" s="227"/>
      <c r="H715" s="227"/>
      <c r="I715" s="227"/>
    </row>
    <row r="716">
      <c r="A716" s="226"/>
      <c r="B716" s="10"/>
      <c r="C716" s="10"/>
      <c r="G716" s="227"/>
      <c r="H716" s="227"/>
      <c r="I716" s="227"/>
    </row>
    <row r="717">
      <c r="A717" s="226"/>
      <c r="B717" s="10"/>
      <c r="C717" s="10"/>
      <c r="G717" s="227"/>
      <c r="H717" s="227"/>
      <c r="I717" s="227"/>
    </row>
    <row r="718">
      <c r="A718" s="226"/>
      <c r="B718" s="10"/>
      <c r="C718" s="10"/>
      <c r="G718" s="227"/>
      <c r="H718" s="227"/>
      <c r="I718" s="227"/>
    </row>
    <row r="719">
      <c r="A719" s="226"/>
      <c r="B719" s="10"/>
      <c r="C719" s="10"/>
      <c r="G719" s="227"/>
      <c r="H719" s="227"/>
      <c r="I719" s="227"/>
    </row>
    <row r="720">
      <c r="A720" s="226"/>
      <c r="B720" s="10"/>
      <c r="C720" s="10"/>
      <c r="G720" s="227"/>
      <c r="H720" s="227"/>
      <c r="I720" s="227"/>
    </row>
    <row r="721">
      <c r="A721" s="226"/>
      <c r="B721" s="10"/>
      <c r="C721" s="10"/>
      <c r="G721" s="227"/>
      <c r="H721" s="227"/>
      <c r="I721" s="227"/>
    </row>
    <row r="722">
      <c r="A722" s="226"/>
      <c r="B722" s="10"/>
      <c r="C722" s="10"/>
      <c r="G722" s="227"/>
      <c r="H722" s="227"/>
      <c r="I722" s="227"/>
    </row>
    <row r="723">
      <c r="A723" s="226"/>
      <c r="B723" s="10"/>
      <c r="C723" s="10"/>
      <c r="G723" s="227"/>
      <c r="H723" s="227"/>
      <c r="I723" s="227"/>
    </row>
    <row r="724">
      <c r="A724" s="226"/>
      <c r="B724" s="10"/>
      <c r="C724" s="10"/>
      <c r="G724" s="227"/>
      <c r="H724" s="227"/>
      <c r="I724" s="227"/>
    </row>
    <row r="725">
      <c r="A725" s="226"/>
      <c r="B725" s="10"/>
      <c r="C725" s="10"/>
      <c r="G725" s="227"/>
      <c r="H725" s="227"/>
      <c r="I725" s="227"/>
    </row>
    <row r="726">
      <c r="A726" s="226"/>
      <c r="B726" s="10"/>
      <c r="C726" s="10"/>
      <c r="G726" s="227"/>
      <c r="H726" s="227"/>
      <c r="I726" s="227"/>
    </row>
    <row r="727">
      <c r="A727" s="226"/>
      <c r="B727" s="10"/>
      <c r="C727" s="10"/>
      <c r="G727" s="227"/>
      <c r="H727" s="227"/>
      <c r="I727" s="227"/>
    </row>
    <row r="728">
      <c r="A728" s="226"/>
      <c r="B728" s="10"/>
      <c r="C728" s="10"/>
      <c r="G728" s="227"/>
      <c r="H728" s="227"/>
      <c r="I728" s="227"/>
    </row>
    <row r="729">
      <c r="A729" s="226"/>
      <c r="B729" s="10"/>
      <c r="C729" s="10"/>
      <c r="G729" s="227"/>
      <c r="H729" s="227"/>
      <c r="I729" s="227"/>
    </row>
    <row r="730">
      <c r="A730" s="226"/>
      <c r="B730" s="10"/>
      <c r="C730" s="10"/>
      <c r="G730" s="227"/>
      <c r="H730" s="227"/>
      <c r="I730" s="227"/>
    </row>
    <row r="731">
      <c r="A731" s="226"/>
      <c r="B731" s="10"/>
      <c r="C731" s="10"/>
      <c r="G731" s="227"/>
      <c r="H731" s="227"/>
      <c r="I731" s="227"/>
    </row>
    <row r="732">
      <c r="A732" s="226"/>
      <c r="B732" s="10"/>
      <c r="C732" s="10"/>
      <c r="G732" s="227"/>
      <c r="H732" s="227"/>
      <c r="I732" s="227"/>
    </row>
    <row r="733">
      <c r="A733" s="226"/>
      <c r="B733" s="10"/>
      <c r="C733" s="10"/>
      <c r="G733" s="227"/>
      <c r="H733" s="227"/>
      <c r="I733" s="227"/>
    </row>
    <row r="734">
      <c r="A734" s="226"/>
      <c r="B734" s="10"/>
      <c r="C734" s="10"/>
      <c r="G734" s="227"/>
      <c r="H734" s="227"/>
      <c r="I734" s="227"/>
    </row>
    <row r="735">
      <c r="A735" s="226"/>
      <c r="B735" s="10"/>
      <c r="C735" s="10"/>
      <c r="G735" s="227"/>
      <c r="H735" s="227"/>
      <c r="I735" s="227"/>
    </row>
    <row r="736">
      <c r="A736" s="226"/>
      <c r="B736" s="10"/>
      <c r="C736" s="10"/>
      <c r="G736" s="227"/>
      <c r="H736" s="227"/>
      <c r="I736" s="227"/>
    </row>
    <row r="737">
      <c r="A737" s="226"/>
      <c r="B737" s="10"/>
      <c r="C737" s="10"/>
      <c r="G737" s="227"/>
      <c r="H737" s="227"/>
      <c r="I737" s="227"/>
    </row>
    <row r="738">
      <c r="A738" s="226"/>
      <c r="B738" s="10"/>
      <c r="C738" s="10"/>
      <c r="G738" s="227"/>
      <c r="H738" s="227"/>
      <c r="I738" s="227"/>
    </row>
    <row r="739">
      <c r="A739" s="226"/>
      <c r="B739" s="10"/>
      <c r="C739" s="10"/>
      <c r="G739" s="227"/>
      <c r="H739" s="227"/>
      <c r="I739" s="227"/>
    </row>
    <row r="740">
      <c r="A740" s="226"/>
      <c r="B740" s="10"/>
      <c r="C740" s="10"/>
      <c r="G740" s="227"/>
      <c r="H740" s="227"/>
      <c r="I740" s="227"/>
    </row>
    <row r="741">
      <c r="A741" s="226"/>
      <c r="B741" s="10"/>
      <c r="C741" s="10"/>
      <c r="G741" s="227"/>
      <c r="H741" s="227"/>
      <c r="I741" s="227"/>
    </row>
    <row r="742">
      <c r="A742" s="226"/>
      <c r="B742" s="10"/>
      <c r="C742" s="10"/>
      <c r="G742" s="227"/>
      <c r="H742" s="227"/>
      <c r="I742" s="227"/>
    </row>
    <row r="743">
      <c r="A743" s="226"/>
      <c r="B743" s="10"/>
      <c r="C743" s="10"/>
      <c r="G743" s="227"/>
      <c r="H743" s="227"/>
      <c r="I743" s="227"/>
    </row>
    <row r="744">
      <c r="A744" s="226"/>
      <c r="B744" s="10"/>
      <c r="C744" s="10"/>
      <c r="G744" s="227"/>
      <c r="H744" s="227"/>
      <c r="I744" s="227"/>
    </row>
    <row r="745">
      <c r="A745" s="226"/>
      <c r="B745" s="10"/>
      <c r="C745" s="10"/>
      <c r="G745" s="227"/>
      <c r="H745" s="227"/>
      <c r="I745" s="227"/>
    </row>
    <row r="746">
      <c r="A746" s="226"/>
      <c r="B746" s="10"/>
      <c r="C746" s="10"/>
      <c r="G746" s="227"/>
      <c r="H746" s="227"/>
      <c r="I746" s="227"/>
    </row>
    <row r="747">
      <c r="A747" s="226"/>
      <c r="B747" s="10"/>
      <c r="C747" s="10"/>
      <c r="G747" s="227"/>
      <c r="H747" s="227"/>
      <c r="I747" s="227"/>
    </row>
    <row r="748">
      <c r="A748" s="226"/>
      <c r="B748" s="10"/>
      <c r="C748" s="10"/>
      <c r="G748" s="227"/>
      <c r="H748" s="227"/>
      <c r="I748" s="227"/>
    </row>
    <row r="749">
      <c r="A749" s="226"/>
      <c r="B749" s="10"/>
      <c r="C749" s="10"/>
      <c r="G749" s="227"/>
      <c r="H749" s="227"/>
      <c r="I749" s="227"/>
    </row>
    <row r="750">
      <c r="A750" s="226"/>
      <c r="B750" s="10"/>
      <c r="C750" s="10"/>
      <c r="G750" s="227"/>
      <c r="H750" s="227"/>
      <c r="I750" s="227"/>
    </row>
    <row r="751">
      <c r="A751" s="226"/>
      <c r="B751" s="10"/>
      <c r="C751" s="10"/>
      <c r="G751" s="227"/>
      <c r="H751" s="227"/>
      <c r="I751" s="227"/>
    </row>
    <row r="752">
      <c r="A752" s="226"/>
      <c r="B752" s="10"/>
      <c r="C752" s="10"/>
      <c r="G752" s="227"/>
      <c r="H752" s="227"/>
      <c r="I752" s="227"/>
    </row>
    <row r="753">
      <c r="A753" s="226"/>
      <c r="B753" s="10"/>
      <c r="C753" s="10"/>
      <c r="G753" s="227"/>
      <c r="H753" s="227"/>
      <c r="I753" s="227"/>
    </row>
    <row r="754">
      <c r="A754" s="226"/>
      <c r="B754" s="10"/>
      <c r="C754" s="10"/>
      <c r="G754" s="227"/>
      <c r="H754" s="227"/>
      <c r="I754" s="227"/>
    </row>
    <row r="755">
      <c r="A755" s="226"/>
      <c r="B755" s="10"/>
      <c r="C755" s="10"/>
      <c r="G755" s="227"/>
      <c r="H755" s="227"/>
      <c r="I755" s="227"/>
    </row>
    <row r="756">
      <c r="A756" s="226"/>
      <c r="B756" s="10"/>
      <c r="C756" s="10"/>
      <c r="G756" s="227"/>
      <c r="H756" s="227"/>
      <c r="I756" s="227"/>
    </row>
    <row r="757">
      <c r="A757" s="226"/>
      <c r="B757" s="10"/>
      <c r="C757" s="10"/>
      <c r="G757" s="227"/>
      <c r="H757" s="227"/>
      <c r="I757" s="227"/>
    </row>
    <row r="758">
      <c r="A758" s="226"/>
      <c r="B758" s="10"/>
      <c r="C758" s="10"/>
      <c r="G758" s="227"/>
      <c r="H758" s="227"/>
      <c r="I758" s="227"/>
    </row>
    <row r="759">
      <c r="A759" s="226"/>
      <c r="B759" s="10"/>
      <c r="C759" s="10"/>
      <c r="G759" s="227"/>
      <c r="H759" s="227"/>
      <c r="I759" s="227"/>
    </row>
    <row r="760">
      <c r="A760" s="226"/>
      <c r="B760" s="10"/>
      <c r="C760" s="10"/>
      <c r="G760" s="227"/>
      <c r="H760" s="227"/>
      <c r="I760" s="227"/>
    </row>
    <row r="761">
      <c r="A761" s="226"/>
      <c r="B761" s="10"/>
      <c r="C761" s="10"/>
      <c r="G761" s="227"/>
      <c r="H761" s="227"/>
      <c r="I761" s="227"/>
    </row>
    <row r="762">
      <c r="A762" s="226"/>
      <c r="B762" s="10"/>
      <c r="C762" s="10"/>
      <c r="G762" s="227"/>
      <c r="H762" s="227"/>
      <c r="I762" s="227"/>
    </row>
    <row r="763">
      <c r="A763" s="226"/>
      <c r="B763" s="10"/>
      <c r="C763" s="10"/>
      <c r="G763" s="227"/>
      <c r="H763" s="227"/>
      <c r="I763" s="227"/>
    </row>
    <row r="764">
      <c r="A764" s="226"/>
      <c r="B764" s="10"/>
      <c r="C764" s="10"/>
      <c r="G764" s="227"/>
      <c r="H764" s="227"/>
      <c r="I764" s="227"/>
    </row>
    <row r="765">
      <c r="A765" s="226"/>
      <c r="B765" s="10"/>
      <c r="C765" s="10"/>
      <c r="G765" s="227"/>
      <c r="H765" s="227"/>
      <c r="I765" s="227"/>
    </row>
    <row r="766">
      <c r="A766" s="226"/>
      <c r="B766" s="10"/>
      <c r="C766" s="10"/>
      <c r="G766" s="227"/>
      <c r="H766" s="227"/>
      <c r="I766" s="227"/>
    </row>
    <row r="767">
      <c r="A767" s="226"/>
      <c r="B767" s="10"/>
      <c r="C767" s="10"/>
      <c r="G767" s="227"/>
      <c r="H767" s="227"/>
      <c r="I767" s="227"/>
    </row>
    <row r="768">
      <c r="A768" s="226"/>
      <c r="B768" s="10"/>
      <c r="C768" s="10"/>
      <c r="G768" s="227"/>
      <c r="H768" s="227"/>
      <c r="I768" s="227"/>
    </row>
    <row r="769">
      <c r="A769" s="226"/>
      <c r="B769" s="10"/>
      <c r="C769" s="10"/>
      <c r="G769" s="227"/>
      <c r="H769" s="227"/>
      <c r="I769" s="227"/>
    </row>
    <row r="770">
      <c r="A770" s="226"/>
      <c r="B770" s="10"/>
      <c r="C770" s="10"/>
      <c r="G770" s="227"/>
      <c r="H770" s="227"/>
      <c r="I770" s="227"/>
    </row>
    <row r="771">
      <c r="A771" s="226"/>
      <c r="B771" s="10"/>
      <c r="C771" s="10"/>
      <c r="G771" s="227"/>
      <c r="H771" s="227"/>
      <c r="I771" s="227"/>
    </row>
    <row r="772">
      <c r="A772" s="226"/>
      <c r="B772" s="10"/>
      <c r="C772" s="10"/>
      <c r="G772" s="227"/>
      <c r="H772" s="227"/>
      <c r="I772" s="227"/>
    </row>
    <row r="773">
      <c r="A773" s="226"/>
      <c r="B773" s="10"/>
      <c r="C773" s="10"/>
      <c r="G773" s="227"/>
      <c r="H773" s="227"/>
      <c r="I773" s="227"/>
    </row>
    <row r="774">
      <c r="A774" s="226"/>
      <c r="B774" s="10"/>
      <c r="C774" s="10"/>
      <c r="G774" s="227"/>
      <c r="H774" s="227"/>
      <c r="I774" s="227"/>
    </row>
    <row r="775">
      <c r="A775" s="226"/>
      <c r="B775" s="10"/>
      <c r="C775" s="10"/>
      <c r="G775" s="227"/>
      <c r="H775" s="227"/>
      <c r="I775" s="227"/>
    </row>
    <row r="776">
      <c r="A776" s="226"/>
      <c r="B776" s="10"/>
      <c r="C776" s="10"/>
      <c r="G776" s="227"/>
      <c r="H776" s="227"/>
      <c r="I776" s="227"/>
    </row>
    <row r="777">
      <c r="A777" s="226"/>
      <c r="B777" s="10"/>
      <c r="C777" s="10"/>
      <c r="G777" s="227"/>
      <c r="H777" s="227"/>
      <c r="I777" s="227"/>
    </row>
    <row r="778">
      <c r="A778" s="226"/>
      <c r="B778" s="10"/>
      <c r="C778" s="10"/>
      <c r="G778" s="227"/>
      <c r="H778" s="227"/>
      <c r="I778" s="227"/>
    </row>
    <row r="779">
      <c r="A779" s="226"/>
      <c r="B779" s="10"/>
      <c r="C779" s="10"/>
      <c r="G779" s="227"/>
      <c r="H779" s="227"/>
      <c r="I779" s="227"/>
    </row>
    <row r="780">
      <c r="A780" s="226"/>
      <c r="B780" s="10"/>
      <c r="C780" s="10"/>
      <c r="G780" s="227"/>
      <c r="H780" s="227"/>
      <c r="I780" s="227"/>
    </row>
    <row r="781">
      <c r="A781" s="226"/>
      <c r="B781" s="10"/>
      <c r="C781" s="10"/>
      <c r="G781" s="227"/>
      <c r="H781" s="227"/>
      <c r="I781" s="227"/>
    </row>
    <row r="782">
      <c r="A782" s="226"/>
      <c r="B782" s="10"/>
      <c r="C782" s="10"/>
      <c r="G782" s="227"/>
      <c r="H782" s="227"/>
      <c r="I782" s="227"/>
    </row>
    <row r="783">
      <c r="A783" s="226"/>
      <c r="B783" s="10"/>
      <c r="C783" s="10"/>
      <c r="G783" s="227"/>
      <c r="H783" s="227"/>
      <c r="I783" s="227"/>
    </row>
    <row r="784">
      <c r="A784" s="226"/>
      <c r="B784" s="10"/>
      <c r="C784" s="10"/>
      <c r="G784" s="227"/>
      <c r="H784" s="227"/>
      <c r="I784" s="227"/>
    </row>
    <row r="785">
      <c r="A785" s="226"/>
      <c r="B785" s="10"/>
      <c r="C785" s="10"/>
      <c r="G785" s="227"/>
      <c r="H785" s="227"/>
      <c r="I785" s="227"/>
    </row>
    <row r="786">
      <c r="A786" s="226"/>
      <c r="B786" s="10"/>
      <c r="C786" s="10"/>
      <c r="G786" s="227"/>
      <c r="H786" s="227"/>
      <c r="I786" s="227"/>
    </row>
    <row r="787">
      <c r="A787" s="226"/>
      <c r="B787" s="10"/>
      <c r="C787" s="10"/>
      <c r="G787" s="227"/>
      <c r="H787" s="227"/>
      <c r="I787" s="227"/>
    </row>
    <row r="788">
      <c r="A788" s="226"/>
      <c r="B788" s="10"/>
      <c r="C788" s="10"/>
      <c r="G788" s="227"/>
      <c r="H788" s="227"/>
      <c r="I788" s="227"/>
    </row>
    <row r="789">
      <c r="A789" s="226"/>
      <c r="B789" s="10"/>
      <c r="C789" s="10"/>
      <c r="G789" s="227"/>
      <c r="H789" s="227"/>
      <c r="I789" s="227"/>
    </row>
    <row r="790">
      <c r="A790" s="226"/>
      <c r="B790" s="10"/>
      <c r="C790" s="10"/>
      <c r="G790" s="227"/>
      <c r="H790" s="227"/>
      <c r="I790" s="227"/>
    </row>
    <row r="791">
      <c r="A791" s="226"/>
      <c r="B791" s="10"/>
      <c r="C791" s="10"/>
      <c r="G791" s="227"/>
      <c r="H791" s="227"/>
      <c r="I791" s="227"/>
    </row>
    <row r="792">
      <c r="A792" s="226"/>
      <c r="B792" s="10"/>
      <c r="C792" s="10"/>
      <c r="G792" s="227"/>
      <c r="H792" s="227"/>
      <c r="I792" s="227"/>
    </row>
    <row r="793">
      <c r="A793" s="226"/>
      <c r="B793" s="10"/>
      <c r="C793" s="10"/>
      <c r="G793" s="227"/>
      <c r="H793" s="227"/>
      <c r="I793" s="227"/>
    </row>
    <row r="794">
      <c r="A794" s="226"/>
      <c r="B794" s="10"/>
      <c r="C794" s="10"/>
      <c r="G794" s="227"/>
      <c r="H794" s="227"/>
      <c r="I794" s="227"/>
    </row>
    <row r="795">
      <c r="A795" s="226"/>
      <c r="B795" s="10"/>
      <c r="C795" s="10"/>
      <c r="G795" s="227"/>
      <c r="H795" s="227"/>
      <c r="I795" s="227"/>
    </row>
    <row r="796">
      <c r="A796" s="226"/>
      <c r="B796" s="10"/>
      <c r="C796" s="10"/>
      <c r="G796" s="227"/>
      <c r="H796" s="227"/>
      <c r="I796" s="227"/>
    </row>
    <row r="797">
      <c r="A797" s="226"/>
      <c r="B797" s="10"/>
      <c r="C797" s="10"/>
      <c r="G797" s="227"/>
      <c r="H797" s="227"/>
      <c r="I797" s="227"/>
    </row>
    <row r="798">
      <c r="A798" s="226"/>
      <c r="B798" s="10"/>
      <c r="C798" s="10"/>
      <c r="G798" s="227"/>
      <c r="H798" s="227"/>
      <c r="I798" s="227"/>
    </row>
    <row r="799">
      <c r="A799" s="226"/>
      <c r="B799" s="10"/>
      <c r="C799" s="10"/>
      <c r="G799" s="227"/>
      <c r="H799" s="227"/>
      <c r="I799" s="227"/>
    </row>
    <row r="800">
      <c r="A800" s="226"/>
      <c r="B800" s="10"/>
      <c r="C800" s="10"/>
      <c r="G800" s="227"/>
      <c r="H800" s="227"/>
      <c r="I800" s="227"/>
    </row>
    <row r="801">
      <c r="A801" s="226"/>
      <c r="B801" s="10"/>
      <c r="C801" s="10"/>
      <c r="G801" s="227"/>
      <c r="H801" s="227"/>
      <c r="I801" s="227"/>
    </row>
    <row r="802">
      <c r="A802" s="226"/>
      <c r="B802" s="10"/>
      <c r="C802" s="10"/>
      <c r="G802" s="227"/>
      <c r="H802" s="227"/>
      <c r="I802" s="227"/>
    </row>
    <row r="803">
      <c r="A803" s="226"/>
      <c r="B803" s="10"/>
      <c r="C803" s="10"/>
      <c r="G803" s="227"/>
      <c r="H803" s="227"/>
      <c r="I803" s="227"/>
    </row>
    <row r="804">
      <c r="A804" s="226"/>
      <c r="B804" s="10"/>
      <c r="C804" s="10"/>
      <c r="G804" s="227"/>
      <c r="H804" s="227"/>
      <c r="I804" s="227"/>
    </row>
    <row r="805">
      <c r="A805" s="226"/>
      <c r="B805" s="10"/>
      <c r="C805" s="10"/>
      <c r="G805" s="227"/>
      <c r="H805" s="227"/>
      <c r="I805" s="227"/>
    </row>
    <row r="806">
      <c r="A806" s="226"/>
      <c r="B806" s="10"/>
      <c r="C806" s="10"/>
      <c r="G806" s="227"/>
      <c r="H806" s="227"/>
      <c r="I806" s="227"/>
    </row>
    <row r="807">
      <c r="A807" s="226"/>
      <c r="B807" s="10"/>
      <c r="C807" s="10"/>
      <c r="G807" s="227"/>
      <c r="H807" s="227"/>
      <c r="I807" s="227"/>
    </row>
    <row r="808">
      <c r="A808" s="226"/>
      <c r="B808" s="10"/>
      <c r="C808" s="10"/>
      <c r="G808" s="227"/>
      <c r="H808" s="227"/>
      <c r="I808" s="227"/>
    </row>
    <row r="809">
      <c r="A809" s="226"/>
      <c r="B809" s="10"/>
      <c r="C809" s="10"/>
      <c r="G809" s="227"/>
      <c r="H809" s="227"/>
      <c r="I809" s="227"/>
    </row>
    <row r="810">
      <c r="A810" s="226"/>
      <c r="B810" s="10"/>
      <c r="C810" s="10"/>
      <c r="G810" s="227"/>
      <c r="H810" s="227"/>
      <c r="I810" s="227"/>
    </row>
    <row r="811">
      <c r="A811" s="226"/>
      <c r="B811" s="10"/>
      <c r="C811" s="10"/>
      <c r="G811" s="227"/>
      <c r="H811" s="227"/>
      <c r="I811" s="227"/>
    </row>
    <row r="812">
      <c r="A812" s="226"/>
      <c r="B812" s="10"/>
      <c r="C812" s="10"/>
      <c r="G812" s="227"/>
      <c r="H812" s="227"/>
      <c r="I812" s="227"/>
    </row>
    <row r="813">
      <c r="A813" s="226"/>
      <c r="B813" s="10"/>
      <c r="C813" s="10"/>
      <c r="G813" s="227"/>
      <c r="H813" s="227"/>
      <c r="I813" s="227"/>
    </row>
    <row r="814">
      <c r="A814" s="226"/>
      <c r="B814" s="10"/>
      <c r="C814" s="10"/>
      <c r="G814" s="227"/>
      <c r="H814" s="227"/>
      <c r="I814" s="227"/>
    </row>
    <row r="815">
      <c r="A815" s="226"/>
      <c r="B815" s="10"/>
      <c r="C815" s="10"/>
      <c r="G815" s="227"/>
      <c r="H815" s="227"/>
      <c r="I815" s="227"/>
    </row>
    <row r="816">
      <c r="A816" s="226"/>
      <c r="B816" s="10"/>
      <c r="C816" s="10"/>
      <c r="G816" s="227"/>
      <c r="H816" s="227"/>
      <c r="I816" s="227"/>
    </row>
    <row r="817">
      <c r="A817" s="226"/>
      <c r="B817" s="10"/>
      <c r="C817" s="10"/>
      <c r="G817" s="227"/>
      <c r="H817" s="227"/>
      <c r="I817" s="227"/>
    </row>
    <row r="818">
      <c r="A818" s="226"/>
      <c r="B818" s="10"/>
      <c r="C818" s="10"/>
      <c r="G818" s="227"/>
      <c r="H818" s="227"/>
      <c r="I818" s="227"/>
    </row>
    <row r="819">
      <c r="A819" s="226"/>
      <c r="B819" s="10"/>
      <c r="C819" s="10"/>
      <c r="G819" s="227"/>
      <c r="H819" s="227"/>
      <c r="I819" s="227"/>
    </row>
    <row r="820">
      <c r="A820" s="226"/>
      <c r="B820" s="10"/>
      <c r="C820" s="10"/>
      <c r="G820" s="227"/>
      <c r="H820" s="227"/>
      <c r="I820" s="227"/>
    </row>
    <row r="821">
      <c r="A821" s="226"/>
      <c r="B821" s="10"/>
      <c r="C821" s="10"/>
      <c r="G821" s="227"/>
      <c r="H821" s="227"/>
      <c r="I821" s="227"/>
    </row>
    <row r="822">
      <c r="A822" s="226"/>
      <c r="B822" s="10"/>
      <c r="C822" s="10"/>
      <c r="G822" s="227"/>
      <c r="H822" s="227"/>
      <c r="I822" s="227"/>
    </row>
    <row r="823">
      <c r="A823" s="226"/>
      <c r="B823" s="10"/>
      <c r="C823" s="10"/>
      <c r="G823" s="227"/>
      <c r="H823" s="227"/>
      <c r="I823" s="227"/>
    </row>
    <row r="824">
      <c r="A824" s="226"/>
      <c r="B824" s="10"/>
      <c r="C824" s="10"/>
      <c r="G824" s="227"/>
      <c r="H824" s="227"/>
      <c r="I824" s="227"/>
    </row>
    <row r="825">
      <c r="A825" s="226"/>
      <c r="B825" s="10"/>
      <c r="C825" s="10"/>
      <c r="G825" s="227"/>
      <c r="H825" s="227"/>
      <c r="I825" s="227"/>
    </row>
    <row r="826">
      <c r="A826" s="226"/>
      <c r="B826" s="10"/>
      <c r="C826" s="10"/>
      <c r="G826" s="227"/>
      <c r="H826" s="227"/>
      <c r="I826" s="227"/>
    </row>
    <row r="827">
      <c r="A827" s="226"/>
      <c r="B827" s="10"/>
      <c r="C827" s="10"/>
      <c r="G827" s="227"/>
      <c r="H827" s="227"/>
      <c r="I827" s="227"/>
    </row>
    <row r="828">
      <c r="A828" s="226"/>
      <c r="B828" s="10"/>
      <c r="C828" s="10"/>
      <c r="G828" s="227"/>
      <c r="H828" s="227"/>
      <c r="I828" s="227"/>
    </row>
    <row r="829">
      <c r="A829" s="226"/>
      <c r="B829" s="10"/>
      <c r="C829" s="10"/>
      <c r="G829" s="227"/>
      <c r="H829" s="227"/>
      <c r="I829" s="227"/>
    </row>
    <row r="830">
      <c r="A830" s="226"/>
      <c r="B830" s="10"/>
      <c r="C830" s="10"/>
      <c r="G830" s="227"/>
      <c r="H830" s="227"/>
      <c r="I830" s="227"/>
    </row>
    <row r="831">
      <c r="A831" s="226"/>
      <c r="B831" s="10"/>
      <c r="C831" s="10"/>
      <c r="G831" s="227"/>
      <c r="H831" s="227"/>
      <c r="I831" s="227"/>
    </row>
    <row r="832">
      <c r="A832" s="226"/>
      <c r="B832" s="10"/>
      <c r="C832" s="10"/>
      <c r="G832" s="227"/>
      <c r="H832" s="227"/>
      <c r="I832" s="227"/>
    </row>
    <row r="833">
      <c r="A833" s="226"/>
      <c r="B833" s="10"/>
      <c r="C833" s="10"/>
      <c r="G833" s="227"/>
      <c r="H833" s="227"/>
      <c r="I833" s="227"/>
    </row>
    <row r="834">
      <c r="A834" s="226"/>
      <c r="B834" s="10"/>
      <c r="C834" s="10"/>
      <c r="G834" s="227"/>
      <c r="H834" s="227"/>
      <c r="I834" s="227"/>
    </row>
    <row r="835">
      <c r="A835" s="226"/>
      <c r="B835" s="10"/>
      <c r="C835" s="10"/>
      <c r="G835" s="227"/>
      <c r="H835" s="227"/>
      <c r="I835" s="227"/>
    </row>
    <row r="836">
      <c r="A836" s="226"/>
      <c r="B836" s="10"/>
      <c r="C836" s="10"/>
      <c r="G836" s="227"/>
      <c r="H836" s="227"/>
      <c r="I836" s="227"/>
    </row>
    <row r="837">
      <c r="A837" s="226"/>
      <c r="B837" s="10"/>
      <c r="C837" s="10"/>
      <c r="G837" s="227"/>
      <c r="H837" s="227"/>
      <c r="I837" s="227"/>
    </row>
    <row r="838">
      <c r="A838" s="226"/>
      <c r="B838" s="10"/>
      <c r="C838" s="10"/>
      <c r="G838" s="227"/>
      <c r="H838" s="227"/>
      <c r="I838" s="227"/>
    </row>
    <row r="839">
      <c r="A839" s="226"/>
      <c r="B839" s="10"/>
      <c r="C839" s="10"/>
      <c r="G839" s="227"/>
      <c r="H839" s="227"/>
      <c r="I839" s="227"/>
    </row>
    <row r="840">
      <c r="A840" s="226"/>
      <c r="B840" s="10"/>
      <c r="C840" s="10"/>
      <c r="G840" s="227"/>
      <c r="H840" s="227"/>
      <c r="I840" s="227"/>
    </row>
    <row r="841">
      <c r="A841" s="226"/>
      <c r="B841" s="10"/>
      <c r="C841" s="10"/>
      <c r="G841" s="227"/>
      <c r="H841" s="227"/>
      <c r="I841" s="227"/>
    </row>
    <row r="842">
      <c r="A842" s="226"/>
      <c r="B842" s="10"/>
      <c r="C842" s="10"/>
      <c r="G842" s="227"/>
      <c r="H842" s="227"/>
      <c r="I842" s="227"/>
    </row>
    <row r="843">
      <c r="A843" s="226"/>
      <c r="B843" s="10"/>
      <c r="C843" s="10"/>
      <c r="G843" s="227"/>
      <c r="H843" s="227"/>
      <c r="I843" s="227"/>
    </row>
    <row r="844">
      <c r="A844" s="226"/>
      <c r="B844" s="10"/>
      <c r="C844" s="10"/>
      <c r="G844" s="227"/>
      <c r="H844" s="227"/>
      <c r="I844" s="227"/>
    </row>
    <row r="845">
      <c r="A845" s="226"/>
      <c r="B845" s="10"/>
      <c r="C845" s="10"/>
      <c r="G845" s="227"/>
      <c r="H845" s="227"/>
      <c r="I845" s="227"/>
    </row>
    <row r="846">
      <c r="A846" s="226"/>
      <c r="B846" s="10"/>
      <c r="C846" s="10"/>
      <c r="G846" s="227"/>
      <c r="H846" s="227"/>
      <c r="I846" s="227"/>
    </row>
    <row r="847">
      <c r="A847" s="226"/>
      <c r="B847" s="10"/>
      <c r="C847" s="10"/>
      <c r="G847" s="227"/>
      <c r="H847" s="227"/>
      <c r="I847" s="227"/>
    </row>
    <row r="848">
      <c r="A848" s="226"/>
      <c r="B848" s="10"/>
      <c r="C848" s="10"/>
      <c r="G848" s="227"/>
      <c r="H848" s="227"/>
      <c r="I848" s="227"/>
    </row>
    <row r="849">
      <c r="A849" s="226"/>
      <c r="B849" s="10"/>
      <c r="C849" s="10"/>
      <c r="G849" s="227"/>
      <c r="H849" s="227"/>
      <c r="I849" s="227"/>
    </row>
    <row r="850">
      <c r="A850" s="226"/>
      <c r="B850" s="10"/>
      <c r="C850" s="10"/>
      <c r="G850" s="227"/>
      <c r="H850" s="227"/>
      <c r="I850" s="227"/>
    </row>
    <row r="851">
      <c r="A851" s="226"/>
      <c r="B851" s="10"/>
      <c r="C851" s="10"/>
      <c r="G851" s="227"/>
      <c r="H851" s="227"/>
      <c r="I851" s="227"/>
    </row>
    <row r="852">
      <c r="A852" s="226"/>
      <c r="B852" s="10"/>
      <c r="C852" s="10"/>
      <c r="G852" s="227"/>
      <c r="H852" s="227"/>
      <c r="I852" s="227"/>
    </row>
    <row r="853">
      <c r="A853" s="226"/>
      <c r="B853" s="10"/>
      <c r="C853" s="10"/>
      <c r="G853" s="227"/>
      <c r="H853" s="227"/>
      <c r="I853" s="227"/>
    </row>
    <row r="854">
      <c r="A854" s="226"/>
      <c r="B854" s="10"/>
      <c r="C854" s="10"/>
      <c r="G854" s="227"/>
      <c r="H854" s="227"/>
      <c r="I854" s="227"/>
    </row>
    <row r="855">
      <c r="A855" s="226"/>
      <c r="B855" s="10"/>
      <c r="C855" s="10"/>
      <c r="G855" s="227"/>
      <c r="H855" s="227"/>
      <c r="I855" s="227"/>
    </row>
    <row r="856">
      <c r="A856" s="226"/>
      <c r="B856" s="10"/>
      <c r="C856" s="10"/>
      <c r="G856" s="227"/>
      <c r="H856" s="227"/>
      <c r="I856" s="227"/>
    </row>
    <row r="857">
      <c r="A857" s="226"/>
      <c r="B857" s="10"/>
      <c r="C857" s="10"/>
      <c r="G857" s="227"/>
      <c r="H857" s="227"/>
      <c r="I857" s="227"/>
    </row>
    <row r="858">
      <c r="A858" s="226"/>
      <c r="B858" s="10"/>
      <c r="C858" s="10"/>
      <c r="G858" s="227"/>
      <c r="H858" s="227"/>
      <c r="I858" s="227"/>
    </row>
    <row r="859">
      <c r="A859" s="226"/>
      <c r="B859" s="10"/>
      <c r="C859" s="10"/>
      <c r="G859" s="227"/>
      <c r="H859" s="227"/>
      <c r="I859" s="227"/>
    </row>
    <row r="860">
      <c r="A860" s="226"/>
      <c r="B860" s="10"/>
      <c r="C860" s="10"/>
      <c r="G860" s="227"/>
      <c r="H860" s="227"/>
      <c r="I860" s="227"/>
    </row>
    <row r="861">
      <c r="A861" s="226"/>
      <c r="B861" s="10"/>
      <c r="C861" s="10"/>
      <c r="G861" s="227"/>
      <c r="H861" s="227"/>
      <c r="I861" s="227"/>
    </row>
    <row r="862">
      <c r="A862" s="226"/>
      <c r="B862" s="10"/>
      <c r="C862" s="10"/>
      <c r="G862" s="227"/>
      <c r="H862" s="227"/>
      <c r="I862" s="227"/>
    </row>
    <row r="863">
      <c r="A863" s="226"/>
      <c r="B863" s="10"/>
      <c r="C863" s="10"/>
      <c r="G863" s="227"/>
      <c r="H863" s="227"/>
      <c r="I863" s="227"/>
    </row>
    <row r="864">
      <c r="A864" s="226"/>
      <c r="B864" s="10"/>
      <c r="C864" s="10"/>
      <c r="G864" s="227"/>
      <c r="H864" s="227"/>
      <c r="I864" s="227"/>
    </row>
    <row r="865">
      <c r="A865" s="226"/>
      <c r="B865" s="10"/>
      <c r="C865" s="10"/>
      <c r="G865" s="227"/>
      <c r="H865" s="227"/>
      <c r="I865" s="227"/>
    </row>
    <row r="866">
      <c r="A866" s="226"/>
      <c r="B866" s="10"/>
      <c r="C866" s="10"/>
      <c r="G866" s="227"/>
      <c r="H866" s="227"/>
      <c r="I866" s="227"/>
    </row>
    <row r="867">
      <c r="A867" s="226"/>
      <c r="B867" s="10"/>
      <c r="C867" s="10"/>
      <c r="G867" s="227"/>
      <c r="H867" s="227"/>
      <c r="I867" s="227"/>
    </row>
    <row r="868">
      <c r="A868" s="226"/>
      <c r="B868" s="10"/>
      <c r="C868" s="10"/>
      <c r="G868" s="227"/>
      <c r="H868" s="227"/>
      <c r="I868" s="227"/>
    </row>
    <row r="869">
      <c r="A869" s="226"/>
      <c r="B869" s="10"/>
      <c r="C869" s="10"/>
      <c r="G869" s="227"/>
      <c r="H869" s="227"/>
      <c r="I869" s="227"/>
    </row>
    <row r="870">
      <c r="A870" s="226"/>
      <c r="B870" s="10"/>
      <c r="C870" s="10"/>
      <c r="G870" s="227"/>
      <c r="H870" s="227"/>
      <c r="I870" s="227"/>
    </row>
    <row r="871">
      <c r="A871" s="226"/>
      <c r="B871" s="10"/>
      <c r="C871" s="10"/>
      <c r="G871" s="227"/>
      <c r="H871" s="227"/>
      <c r="I871" s="227"/>
    </row>
    <row r="872">
      <c r="A872" s="226"/>
      <c r="B872" s="10"/>
      <c r="C872" s="10"/>
      <c r="G872" s="227"/>
      <c r="H872" s="227"/>
      <c r="I872" s="227"/>
    </row>
    <row r="873">
      <c r="A873" s="226"/>
      <c r="B873" s="10"/>
      <c r="C873" s="10"/>
      <c r="G873" s="227"/>
      <c r="H873" s="227"/>
      <c r="I873" s="227"/>
    </row>
    <row r="874">
      <c r="A874" s="226"/>
      <c r="B874" s="10"/>
      <c r="C874" s="10"/>
      <c r="G874" s="227"/>
      <c r="H874" s="227"/>
      <c r="I874" s="227"/>
    </row>
    <row r="875">
      <c r="A875" s="226"/>
      <c r="B875" s="10"/>
      <c r="C875" s="10"/>
      <c r="G875" s="227"/>
      <c r="H875" s="227"/>
      <c r="I875" s="227"/>
    </row>
    <row r="876">
      <c r="A876" s="226"/>
      <c r="B876" s="10"/>
      <c r="C876" s="10"/>
      <c r="G876" s="227"/>
      <c r="H876" s="227"/>
      <c r="I876" s="227"/>
    </row>
    <row r="877">
      <c r="A877" s="226"/>
      <c r="B877" s="10"/>
      <c r="C877" s="10"/>
      <c r="G877" s="227"/>
      <c r="H877" s="227"/>
      <c r="I877" s="227"/>
    </row>
    <row r="878">
      <c r="A878" s="226"/>
      <c r="B878" s="10"/>
      <c r="C878" s="10"/>
      <c r="G878" s="227"/>
      <c r="H878" s="227"/>
      <c r="I878" s="227"/>
    </row>
    <row r="879">
      <c r="A879" s="226"/>
      <c r="B879" s="10"/>
      <c r="C879" s="10"/>
      <c r="G879" s="227"/>
      <c r="H879" s="227"/>
      <c r="I879" s="227"/>
    </row>
    <row r="880">
      <c r="A880" s="226"/>
      <c r="B880" s="10"/>
      <c r="C880" s="10"/>
      <c r="G880" s="227"/>
      <c r="H880" s="227"/>
      <c r="I880" s="227"/>
    </row>
    <row r="881">
      <c r="A881" s="226"/>
      <c r="B881" s="10"/>
      <c r="C881" s="10"/>
      <c r="G881" s="227"/>
      <c r="H881" s="227"/>
      <c r="I881" s="227"/>
    </row>
    <row r="882">
      <c r="A882" s="226"/>
      <c r="B882" s="10"/>
      <c r="C882" s="10"/>
      <c r="G882" s="227"/>
      <c r="H882" s="227"/>
      <c r="I882" s="227"/>
    </row>
    <row r="883">
      <c r="A883" s="226"/>
      <c r="B883" s="10"/>
      <c r="C883" s="10"/>
      <c r="G883" s="227"/>
      <c r="H883" s="227"/>
      <c r="I883" s="227"/>
    </row>
    <row r="884">
      <c r="A884" s="226"/>
      <c r="B884" s="10"/>
      <c r="C884" s="10"/>
      <c r="G884" s="227"/>
      <c r="H884" s="227"/>
      <c r="I884" s="227"/>
    </row>
    <row r="885">
      <c r="A885" s="226"/>
      <c r="B885" s="10"/>
      <c r="C885" s="10"/>
      <c r="G885" s="227"/>
      <c r="H885" s="227"/>
      <c r="I885" s="227"/>
    </row>
    <row r="886">
      <c r="A886" s="226"/>
      <c r="B886" s="10"/>
      <c r="C886" s="10"/>
      <c r="G886" s="227"/>
      <c r="H886" s="227"/>
      <c r="I886" s="227"/>
    </row>
    <row r="887">
      <c r="A887" s="226"/>
      <c r="B887" s="10"/>
      <c r="C887" s="10"/>
      <c r="G887" s="227"/>
      <c r="H887" s="227"/>
      <c r="I887" s="227"/>
    </row>
    <row r="888">
      <c r="A888" s="226"/>
      <c r="B888" s="10"/>
      <c r="C888" s="10"/>
      <c r="G888" s="227"/>
      <c r="H888" s="227"/>
      <c r="I888" s="227"/>
    </row>
    <row r="889">
      <c r="A889" s="226"/>
      <c r="B889" s="10"/>
      <c r="C889" s="10"/>
      <c r="G889" s="227"/>
      <c r="H889" s="227"/>
      <c r="I889" s="227"/>
    </row>
    <row r="890">
      <c r="A890" s="226"/>
      <c r="B890" s="10"/>
      <c r="C890" s="10"/>
      <c r="G890" s="227"/>
      <c r="H890" s="227"/>
      <c r="I890" s="227"/>
    </row>
    <row r="891">
      <c r="A891" s="226"/>
      <c r="B891" s="10"/>
      <c r="C891" s="10"/>
      <c r="G891" s="227"/>
      <c r="H891" s="227"/>
      <c r="I891" s="227"/>
    </row>
    <row r="892">
      <c r="A892" s="226"/>
      <c r="B892" s="10"/>
      <c r="C892" s="10"/>
      <c r="G892" s="227"/>
      <c r="H892" s="227"/>
      <c r="I892" s="227"/>
    </row>
    <row r="893">
      <c r="A893" s="226"/>
      <c r="B893" s="10"/>
      <c r="C893" s="10"/>
      <c r="G893" s="227"/>
      <c r="H893" s="227"/>
      <c r="I893" s="227"/>
    </row>
    <row r="894">
      <c r="A894" s="226"/>
      <c r="B894" s="10"/>
      <c r="C894" s="10"/>
      <c r="G894" s="227"/>
      <c r="H894" s="227"/>
      <c r="I894" s="227"/>
    </row>
    <row r="895">
      <c r="A895" s="226"/>
      <c r="B895" s="10"/>
      <c r="C895" s="10"/>
      <c r="G895" s="227"/>
      <c r="H895" s="227"/>
      <c r="I895" s="227"/>
    </row>
    <row r="896">
      <c r="A896" s="226"/>
      <c r="B896" s="10"/>
      <c r="C896" s="10"/>
      <c r="G896" s="227"/>
      <c r="H896" s="227"/>
      <c r="I896" s="227"/>
    </row>
    <row r="897">
      <c r="A897" s="226"/>
      <c r="B897" s="10"/>
      <c r="C897" s="10"/>
      <c r="G897" s="227"/>
      <c r="H897" s="227"/>
      <c r="I897" s="227"/>
    </row>
    <row r="898">
      <c r="A898" s="226"/>
      <c r="B898" s="10"/>
      <c r="C898" s="10"/>
      <c r="G898" s="227"/>
      <c r="H898" s="227"/>
      <c r="I898" s="227"/>
    </row>
    <row r="899">
      <c r="A899" s="226"/>
      <c r="B899" s="10"/>
      <c r="C899" s="10"/>
      <c r="G899" s="227"/>
      <c r="H899" s="227"/>
      <c r="I899" s="227"/>
    </row>
    <row r="900">
      <c r="A900" s="226"/>
      <c r="B900" s="10"/>
      <c r="C900" s="10"/>
      <c r="G900" s="227"/>
      <c r="H900" s="227"/>
      <c r="I900" s="227"/>
    </row>
    <row r="901">
      <c r="A901" s="226"/>
      <c r="B901" s="10"/>
      <c r="C901" s="10"/>
      <c r="G901" s="227"/>
      <c r="H901" s="227"/>
      <c r="I901" s="227"/>
    </row>
    <row r="902">
      <c r="A902" s="226"/>
      <c r="B902" s="10"/>
      <c r="C902" s="10"/>
      <c r="G902" s="227"/>
      <c r="H902" s="227"/>
      <c r="I902" s="227"/>
    </row>
    <row r="903">
      <c r="A903" s="226"/>
      <c r="B903" s="10"/>
      <c r="C903" s="10"/>
      <c r="G903" s="227"/>
      <c r="H903" s="227"/>
      <c r="I903" s="227"/>
    </row>
    <row r="904">
      <c r="A904" s="226"/>
      <c r="B904" s="10"/>
      <c r="C904" s="10"/>
      <c r="G904" s="227"/>
      <c r="H904" s="227"/>
      <c r="I904" s="227"/>
    </row>
    <row r="905">
      <c r="A905" s="226"/>
      <c r="B905" s="10"/>
      <c r="C905" s="10"/>
      <c r="G905" s="227"/>
      <c r="H905" s="227"/>
      <c r="I905" s="227"/>
    </row>
    <row r="906">
      <c r="A906" s="226"/>
      <c r="B906" s="10"/>
      <c r="C906" s="10"/>
      <c r="G906" s="227"/>
      <c r="H906" s="227"/>
      <c r="I906" s="227"/>
    </row>
    <row r="907">
      <c r="A907" s="226"/>
      <c r="B907" s="10"/>
      <c r="C907" s="10"/>
      <c r="G907" s="227"/>
      <c r="H907" s="227"/>
      <c r="I907" s="227"/>
    </row>
    <row r="908">
      <c r="A908" s="226"/>
      <c r="B908" s="10"/>
      <c r="C908" s="10"/>
      <c r="G908" s="227"/>
      <c r="H908" s="227"/>
      <c r="I908" s="227"/>
    </row>
    <row r="909">
      <c r="A909" s="226"/>
      <c r="B909" s="10"/>
      <c r="C909" s="10"/>
      <c r="G909" s="227"/>
      <c r="H909" s="227"/>
      <c r="I909" s="227"/>
    </row>
    <row r="910">
      <c r="A910" s="226"/>
      <c r="B910" s="10"/>
      <c r="C910" s="10"/>
      <c r="G910" s="227"/>
      <c r="H910" s="227"/>
      <c r="I910" s="227"/>
    </row>
    <row r="911">
      <c r="A911" s="226"/>
      <c r="B911" s="10"/>
      <c r="C911" s="10"/>
      <c r="G911" s="227"/>
      <c r="H911" s="227"/>
      <c r="I911" s="227"/>
    </row>
    <row r="912">
      <c r="A912" s="226"/>
      <c r="B912" s="10"/>
      <c r="C912" s="10"/>
      <c r="G912" s="227"/>
      <c r="H912" s="227"/>
      <c r="I912" s="227"/>
    </row>
    <row r="913">
      <c r="A913" s="226"/>
      <c r="B913" s="10"/>
      <c r="C913" s="10"/>
      <c r="G913" s="227"/>
      <c r="H913" s="227"/>
      <c r="I913" s="227"/>
    </row>
    <row r="914">
      <c r="A914" s="226"/>
      <c r="B914" s="10"/>
      <c r="C914" s="10"/>
      <c r="G914" s="227"/>
      <c r="H914" s="227"/>
      <c r="I914" s="227"/>
    </row>
    <row r="915">
      <c r="A915" s="226"/>
      <c r="B915" s="10"/>
      <c r="C915" s="10"/>
      <c r="G915" s="227"/>
      <c r="H915" s="227"/>
      <c r="I915" s="227"/>
    </row>
    <row r="916">
      <c r="A916" s="226"/>
      <c r="B916" s="10"/>
      <c r="C916" s="10"/>
      <c r="G916" s="227"/>
      <c r="H916" s="227"/>
      <c r="I916" s="227"/>
    </row>
    <row r="917">
      <c r="A917" s="226"/>
      <c r="B917" s="10"/>
      <c r="C917" s="10"/>
      <c r="G917" s="227"/>
      <c r="H917" s="227"/>
      <c r="I917" s="227"/>
    </row>
    <row r="918">
      <c r="A918" s="226"/>
      <c r="B918" s="10"/>
      <c r="C918" s="10"/>
      <c r="G918" s="227"/>
      <c r="H918" s="227"/>
      <c r="I918" s="227"/>
    </row>
    <row r="919">
      <c r="A919" s="226"/>
      <c r="B919" s="10"/>
      <c r="C919" s="10"/>
      <c r="G919" s="227"/>
      <c r="H919" s="227"/>
      <c r="I919" s="227"/>
    </row>
    <row r="920">
      <c r="A920" s="226"/>
      <c r="B920" s="10"/>
      <c r="C920" s="10"/>
      <c r="G920" s="227"/>
      <c r="H920" s="227"/>
      <c r="I920" s="227"/>
    </row>
    <row r="921">
      <c r="A921" s="226"/>
      <c r="B921" s="10"/>
      <c r="C921" s="10"/>
      <c r="G921" s="227"/>
      <c r="H921" s="227"/>
      <c r="I921" s="227"/>
    </row>
    <row r="922">
      <c r="A922" s="226"/>
      <c r="B922" s="10"/>
      <c r="C922" s="10"/>
      <c r="G922" s="227"/>
      <c r="H922" s="227"/>
      <c r="I922" s="227"/>
    </row>
    <row r="923">
      <c r="A923" s="226"/>
      <c r="B923" s="10"/>
      <c r="C923" s="10"/>
      <c r="G923" s="227"/>
      <c r="H923" s="227"/>
      <c r="I923" s="227"/>
    </row>
    <row r="924">
      <c r="A924" s="226"/>
      <c r="B924" s="10"/>
      <c r="C924" s="10"/>
      <c r="G924" s="227"/>
      <c r="H924" s="227"/>
      <c r="I924" s="227"/>
    </row>
    <row r="925">
      <c r="A925" s="226"/>
      <c r="B925" s="10"/>
      <c r="C925" s="10"/>
      <c r="G925" s="227"/>
      <c r="H925" s="227"/>
      <c r="I925" s="227"/>
    </row>
    <row r="926">
      <c r="A926" s="226"/>
      <c r="B926" s="10"/>
      <c r="C926" s="10"/>
      <c r="G926" s="227"/>
      <c r="H926" s="227"/>
      <c r="I926" s="227"/>
    </row>
    <row r="927">
      <c r="A927" s="226"/>
      <c r="B927" s="10"/>
      <c r="C927" s="10"/>
      <c r="G927" s="227"/>
      <c r="H927" s="227"/>
      <c r="I927" s="227"/>
    </row>
    <row r="928">
      <c r="A928" s="226"/>
      <c r="B928" s="10"/>
      <c r="C928" s="10"/>
      <c r="G928" s="227"/>
      <c r="H928" s="227"/>
      <c r="I928" s="227"/>
    </row>
    <row r="929">
      <c r="A929" s="226"/>
      <c r="B929" s="10"/>
      <c r="C929" s="10"/>
      <c r="G929" s="227"/>
      <c r="H929" s="227"/>
      <c r="I929" s="227"/>
    </row>
    <row r="930">
      <c r="A930" s="226"/>
      <c r="B930" s="10"/>
      <c r="C930" s="10"/>
      <c r="G930" s="227"/>
      <c r="H930" s="227"/>
      <c r="I930" s="227"/>
    </row>
    <row r="931">
      <c r="A931" s="226"/>
      <c r="B931" s="10"/>
      <c r="C931" s="10"/>
      <c r="G931" s="227"/>
      <c r="H931" s="227"/>
      <c r="I931" s="227"/>
    </row>
    <row r="932">
      <c r="A932" s="226"/>
      <c r="B932" s="10"/>
      <c r="C932" s="10"/>
      <c r="G932" s="227"/>
      <c r="H932" s="227"/>
      <c r="I932" s="227"/>
    </row>
    <row r="933">
      <c r="A933" s="226"/>
      <c r="B933" s="10"/>
      <c r="C933" s="10"/>
      <c r="G933" s="227"/>
      <c r="H933" s="227"/>
      <c r="I933" s="227"/>
    </row>
    <row r="934">
      <c r="A934" s="226"/>
      <c r="B934" s="10"/>
      <c r="C934" s="10"/>
      <c r="G934" s="227"/>
      <c r="H934" s="227"/>
      <c r="I934" s="227"/>
    </row>
    <row r="935">
      <c r="A935" s="226"/>
      <c r="B935" s="10"/>
      <c r="C935" s="10"/>
      <c r="G935" s="227"/>
      <c r="H935" s="227"/>
      <c r="I935" s="227"/>
    </row>
    <row r="936">
      <c r="A936" s="226"/>
      <c r="B936" s="10"/>
      <c r="C936" s="10"/>
      <c r="G936" s="227"/>
      <c r="H936" s="227"/>
      <c r="I936" s="227"/>
    </row>
    <row r="937">
      <c r="A937" s="226"/>
      <c r="B937" s="10"/>
      <c r="C937" s="10"/>
      <c r="G937" s="227"/>
      <c r="H937" s="227"/>
      <c r="I937" s="227"/>
    </row>
    <row r="938">
      <c r="A938" s="226"/>
      <c r="B938" s="10"/>
      <c r="C938" s="10"/>
      <c r="G938" s="227"/>
      <c r="H938" s="227"/>
      <c r="I938" s="227"/>
    </row>
    <row r="939">
      <c r="A939" s="226"/>
      <c r="B939" s="10"/>
      <c r="C939" s="10"/>
      <c r="G939" s="227"/>
      <c r="H939" s="227"/>
      <c r="I939" s="227"/>
    </row>
    <row r="940">
      <c r="A940" s="226"/>
      <c r="B940" s="10"/>
      <c r="C940" s="10"/>
      <c r="G940" s="227"/>
      <c r="H940" s="227"/>
      <c r="I940" s="227"/>
    </row>
    <row r="941">
      <c r="A941" s="226"/>
      <c r="B941" s="10"/>
      <c r="C941" s="10"/>
      <c r="G941" s="227"/>
      <c r="H941" s="227"/>
      <c r="I941" s="227"/>
    </row>
    <row r="942">
      <c r="A942" s="226"/>
      <c r="B942" s="10"/>
      <c r="C942" s="10"/>
      <c r="G942" s="227"/>
      <c r="H942" s="227"/>
      <c r="I942" s="227"/>
    </row>
    <row r="943">
      <c r="A943" s="226"/>
      <c r="B943" s="10"/>
      <c r="C943" s="10"/>
      <c r="G943" s="227"/>
      <c r="H943" s="227"/>
      <c r="I943" s="227"/>
    </row>
    <row r="944">
      <c r="A944" s="226"/>
      <c r="B944" s="10"/>
      <c r="C944" s="10"/>
      <c r="G944" s="227"/>
      <c r="H944" s="227"/>
      <c r="I944" s="227"/>
    </row>
    <row r="945">
      <c r="A945" s="226"/>
      <c r="B945" s="10"/>
      <c r="C945" s="10"/>
      <c r="G945" s="227"/>
      <c r="H945" s="227"/>
      <c r="I945" s="227"/>
    </row>
    <row r="946">
      <c r="A946" s="226"/>
      <c r="B946" s="10"/>
      <c r="C946" s="10"/>
      <c r="G946" s="227"/>
      <c r="H946" s="227"/>
      <c r="I946" s="227"/>
    </row>
    <row r="947">
      <c r="A947" s="226"/>
      <c r="B947" s="10"/>
      <c r="C947" s="10"/>
      <c r="G947" s="227"/>
      <c r="H947" s="227"/>
      <c r="I947" s="227"/>
    </row>
    <row r="948">
      <c r="A948" s="226"/>
      <c r="B948" s="10"/>
      <c r="C948" s="10"/>
      <c r="G948" s="227"/>
      <c r="H948" s="227"/>
      <c r="I948" s="227"/>
    </row>
    <row r="949">
      <c r="A949" s="226"/>
      <c r="B949" s="10"/>
      <c r="C949" s="10"/>
      <c r="G949" s="227"/>
      <c r="H949" s="227"/>
      <c r="I949" s="227"/>
    </row>
    <row r="950">
      <c r="A950" s="226"/>
      <c r="B950" s="10"/>
      <c r="C950" s="10"/>
      <c r="G950" s="227"/>
      <c r="H950" s="227"/>
      <c r="I950" s="227"/>
    </row>
    <row r="951">
      <c r="A951" s="226"/>
      <c r="B951" s="10"/>
      <c r="C951" s="10"/>
      <c r="G951" s="227"/>
      <c r="H951" s="227"/>
      <c r="I951" s="227"/>
    </row>
    <row r="952">
      <c r="A952" s="226"/>
      <c r="B952" s="10"/>
      <c r="C952" s="10"/>
      <c r="G952" s="227"/>
      <c r="H952" s="227"/>
      <c r="I952" s="227"/>
    </row>
    <row r="953">
      <c r="A953" s="226"/>
      <c r="B953" s="10"/>
      <c r="C953" s="10"/>
      <c r="G953" s="227"/>
      <c r="H953" s="227"/>
      <c r="I953" s="227"/>
    </row>
    <row r="954">
      <c r="A954" s="226"/>
      <c r="B954" s="10"/>
      <c r="C954" s="10"/>
      <c r="G954" s="227"/>
      <c r="H954" s="227"/>
      <c r="I954" s="227"/>
    </row>
    <row r="955">
      <c r="A955" s="226"/>
      <c r="B955" s="10"/>
      <c r="C955" s="10"/>
      <c r="G955" s="227"/>
      <c r="H955" s="227"/>
      <c r="I955" s="227"/>
    </row>
    <row r="956">
      <c r="A956" s="226"/>
      <c r="B956" s="10"/>
      <c r="C956" s="10"/>
      <c r="G956" s="227"/>
      <c r="H956" s="227"/>
      <c r="I956" s="227"/>
    </row>
    <row r="957">
      <c r="A957" s="226"/>
      <c r="B957" s="10"/>
      <c r="C957" s="10"/>
      <c r="G957" s="227"/>
      <c r="H957" s="227"/>
      <c r="I957" s="227"/>
    </row>
    <row r="958">
      <c r="A958" s="226"/>
      <c r="B958" s="10"/>
      <c r="C958" s="10"/>
      <c r="G958" s="227"/>
      <c r="H958" s="227"/>
      <c r="I958" s="227"/>
    </row>
    <row r="959">
      <c r="A959" s="226"/>
      <c r="B959" s="10"/>
      <c r="C959" s="10"/>
      <c r="G959" s="227"/>
      <c r="H959" s="227"/>
      <c r="I959" s="227"/>
    </row>
    <row r="960">
      <c r="A960" s="226"/>
      <c r="B960" s="10"/>
      <c r="C960" s="10"/>
      <c r="G960" s="227"/>
      <c r="H960" s="227"/>
      <c r="I960" s="227"/>
    </row>
    <row r="961">
      <c r="A961" s="226"/>
      <c r="B961" s="10"/>
      <c r="C961" s="10"/>
      <c r="G961" s="227"/>
      <c r="H961" s="227"/>
      <c r="I961" s="227"/>
    </row>
    <row r="962">
      <c r="A962" s="226"/>
      <c r="B962" s="10"/>
      <c r="C962" s="10"/>
      <c r="G962" s="227"/>
      <c r="H962" s="227"/>
      <c r="I962" s="227"/>
    </row>
    <row r="963">
      <c r="A963" s="226"/>
      <c r="B963" s="10"/>
      <c r="C963" s="10"/>
      <c r="G963" s="227"/>
      <c r="H963" s="227"/>
      <c r="I963" s="227"/>
    </row>
    <row r="964">
      <c r="A964" s="226"/>
      <c r="B964" s="10"/>
      <c r="C964" s="10"/>
      <c r="G964" s="227"/>
      <c r="H964" s="227"/>
      <c r="I964" s="227"/>
    </row>
    <row r="965">
      <c r="A965" s="226"/>
      <c r="B965" s="10"/>
      <c r="C965" s="10"/>
      <c r="G965" s="227"/>
      <c r="H965" s="227"/>
      <c r="I965" s="227"/>
    </row>
    <row r="966">
      <c r="A966" s="226"/>
      <c r="B966" s="10"/>
      <c r="C966" s="10"/>
      <c r="G966" s="227"/>
      <c r="H966" s="227"/>
      <c r="I966" s="227"/>
    </row>
    <row r="967">
      <c r="A967" s="226"/>
      <c r="B967" s="10"/>
      <c r="C967" s="10"/>
      <c r="G967" s="227"/>
      <c r="H967" s="227"/>
      <c r="I967" s="227"/>
    </row>
    <row r="968">
      <c r="A968" s="226"/>
      <c r="B968" s="10"/>
      <c r="C968" s="10"/>
      <c r="G968" s="227"/>
      <c r="H968" s="227"/>
      <c r="I968" s="227"/>
    </row>
    <row r="969">
      <c r="A969" s="226"/>
      <c r="B969" s="10"/>
      <c r="C969" s="10"/>
      <c r="G969" s="227"/>
      <c r="H969" s="227"/>
      <c r="I969" s="227"/>
    </row>
    <row r="970">
      <c r="A970" s="226"/>
      <c r="B970" s="10"/>
      <c r="C970" s="10"/>
      <c r="G970" s="227"/>
      <c r="H970" s="227"/>
      <c r="I970" s="227"/>
    </row>
    <row r="971">
      <c r="A971" s="226"/>
      <c r="B971" s="10"/>
      <c r="C971" s="10"/>
      <c r="G971" s="227"/>
      <c r="H971" s="227"/>
      <c r="I971" s="227"/>
    </row>
    <row r="972">
      <c r="A972" s="226"/>
      <c r="B972" s="10"/>
      <c r="C972" s="10"/>
      <c r="G972" s="227"/>
      <c r="H972" s="227"/>
      <c r="I972" s="227"/>
    </row>
    <row r="973">
      <c r="A973" s="226"/>
      <c r="B973" s="10"/>
      <c r="C973" s="10"/>
      <c r="G973" s="227"/>
      <c r="H973" s="227"/>
      <c r="I973" s="227"/>
    </row>
    <row r="974">
      <c r="A974" s="226"/>
      <c r="B974" s="10"/>
      <c r="C974" s="10"/>
      <c r="G974" s="227"/>
      <c r="H974" s="227"/>
      <c r="I974" s="227"/>
    </row>
    <row r="975">
      <c r="A975" s="226"/>
      <c r="B975" s="10"/>
      <c r="C975" s="10"/>
      <c r="G975" s="227"/>
      <c r="H975" s="227"/>
      <c r="I975" s="227"/>
    </row>
    <row r="976">
      <c r="A976" s="226"/>
      <c r="B976" s="10"/>
      <c r="C976" s="10"/>
      <c r="G976" s="227"/>
      <c r="H976" s="227"/>
      <c r="I976" s="227"/>
    </row>
    <row r="977">
      <c r="A977" s="226"/>
      <c r="B977" s="10"/>
      <c r="C977" s="10"/>
      <c r="G977" s="227"/>
      <c r="H977" s="227"/>
      <c r="I977" s="227"/>
    </row>
    <row r="978">
      <c r="A978" s="226"/>
      <c r="B978" s="10"/>
      <c r="C978" s="10"/>
      <c r="G978" s="227"/>
      <c r="H978" s="227"/>
      <c r="I978" s="227"/>
    </row>
    <row r="979">
      <c r="A979" s="226"/>
      <c r="B979" s="10"/>
      <c r="C979" s="10"/>
      <c r="G979" s="227"/>
      <c r="H979" s="227"/>
      <c r="I979" s="227"/>
    </row>
    <row r="980">
      <c r="A980" s="226"/>
      <c r="B980" s="10"/>
      <c r="C980" s="10"/>
      <c r="G980" s="227"/>
      <c r="H980" s="227"/>
      <c r="I980" s="227"/>
    </row>
    <row r="981">
      <c r="A981" s="226"/>
      <c r="B981" s="10"/>
      <c r="C981" s="10"/>
      <c r="G981" s="227"/>
      <c r="H981" s="227"/>
      <c r="I981" s="227"/>
    </row>
    <row r="982">
      <c r="A982" s="226"/>
      <c r="B982" s="10"/>
      <c r="C982" s="10"/>
      <c r="G982" s="227"/>
      <c r="H982" s="227"/>
      <c r="I982" s="227"/>
    </row>
    <row r="983">
      <c r="A983" s="226"/>
      <c r="B983" s="10"/>
      <c r="C983" s="10"/>
      <c r="G983" s="227"/>
      <c r="H983" s="227"/>
      <c r="I983" s="227"/>
    </row>
    <row r="984">
      <c r="A984" s="226"/>
      <c r="B984" s="10"/>
      <c r="C984" s="10"/>
      <c r="G984" s="227"/>
      <c r="H984" s="227"/>
      <c r="I984" s="227"/>
    </row>
    <row r="985">
      <c r="A985" s="226"/>
      <c r="B985" s="10"/>
      <c r="C985" s="10"/>
      <c r="G985" s="227"/>
      <c r="H985" s="227"/>
      <c r="I985" s="227"/>
    </row>
    <row r="986">
      <c r="A986" s="226"/>
      <c r="B986" s="10"/>
      <c r="C986" s="10"/>
      <c r="G986" s="227"/>
      <c r="H986" s="227"/>
      <c r="I986" s="227"/>
    </row>
    <row r="987">
      <c r="A987" s="226"/>
      <c r="B987" s="10"/>
      <c r="C987" s="10"/>
      <c r="G987" s="227"/>
      <c r="H987" s="227"/>
      <c r="I987" s="227"/>
    </row>
    <row r="988">
      <c r="A988" s="226"/>
      <c r="B988" s="10"/>
      <c r="C988" s="10"/>
      <c r="G988" s="227"/>
      <c r="H988" s="227"/>
      <c r="I988" s="227"/>
    </row>
    <row r="989">
      <c r="A989" s="226"/>
      <c r="B989" s="10"/>
      <c r="C989" s="10"/>
      <c r="G989" s="227"/>
      <c r="H989" s="227"/>
      <c r="I989" s="227"/>
    </row>
    <row r="990">
      <c r="A990" s="226"/>
      <c r="B990" s="10"/>
      <c r="C990" s="10"/>
      <c r="G990" s="227"/>
      <c r="H990" s="227"/>
      <c r="I990" s="227"/>
    </row>
    <row r="991">
      <c r="A991" s="226"/>
      <c r="B991" s="10"/>
      <c r="C991" s="10"/>
      <c r="G991" s="227"/>
      <c r="H991" s="227"/>
      <c r="I991" s="227"/>
    </row>
    <row r="992">
      <c r="A992" s="226"/>
      <c r="B992" s="10"/>
      <c r="C992" s="10"/>
      <c r="G992" s="227"/>
      <c r="H992" s="227"/>
      <c r="I992" s="227"/>
    </row>
    <row r="993">
      <c r="A993" s="226"/>
      <c r="B993" s="10"/>
      <c r="C993" s="10"/>
      <c r="G993" s="227"/>
      <c r="H993" s="227"/>
      <c r="I993" s="227"/>
    </row>
    <row r="994">
      <c r="A994" s="226"/>
      <c r="B994" s="10"/>
      <c r="C994" s="10"/>
      <c r="G994" s="227"/>
      <c r="H994" s="227"/>
      <c r="I994" s="227"/>
    </row>
    <row r="995">
      <c r="A995" s="226"/>
      <c r="B995" s="10"/>
      <c r="C995" s="10"/>
      <c r="G995" s="227"/>
      <c r="H995" s="227"/>
      <c r="I995" s="227"/>
    </row>
    <row r="996">
      <c r="A996" s="226"/>
      <c r="B996" s="10"/>
      <c r="C996" s="10"/>
      <c r="G996" s="227"/>
      <c r="H996" s="227"/>
      <c r="I996" s="227"/>
    </row>
    <row r="997">
      <c r="A997" s="226"/>
      <c r="B997" s="10"/>
      <c r="C997" s="10"/>
      <c r="G997" s="227"/>
      <c r="H997" s="227"/>
      <c r="I997" s="227"/>
    </row>
    <row r="998">
      <c r="A998" s="226"/>
      <c r="B998" s="10"/>
      <c r="C998" s="10"/>
      <c r="G998" s="227"/>
      <c r="H998" s="227"/>
      <c r="I998" s="227"/>
    </row>
    <row r="999">
      <c r="A999" s="226"/>
      <c r="B999" s="10"/>
      <c r="C999" s="10"/>
      <c r="G999" s="227"/>
      <c r="H999" s="227"/>
      <c r="I999" s="227"/>
    </row>
    <row r="1000">
      <c r="A1000" s="226"/>
      <c r="B1000" s="10"/>
      <c r="C1000" s="10"/>
      <c r="G1000" s="227"/>
      <c r="H1000" s="227"/>
      <c r="I1000" s="227"/>
    </row>
    <row r="1001">
      <c r="A1001" s="226"/>
      <c r="B1001" s="10"/>
      <c r="C1001" s="10"/>
      <c r="G1001" s="227"/>
      <c r="H1001" s="227"/>
      <c r="I1001" s="227"/>
    </row>
    <row r="1002">
      <c r="A1002" s="226"/>
      <c r="B1002" s="10"/>
      <c r="C1002" s="10"/>
    </row>
    <row r="1003">
      <c r="A1003" s="226"/>
      <c r="B1003" s="10"/>
      <c r="C1003" s="10"/>
    </row>
    <row r="1004">
      <c r="A1004" s="226"/>
      <c r="B1004" s="10"/>
      <c r="C1004" s="10"/>
    </row>
    <row r="1005">
      <c r="A1005" s="226"/>
      <c r="B1005" s="10"/>
      <c r="C1005" s="10"/>
    </row>
    <row r="1006">
      <c r="A1006" s="226"/>
      <c r="B1006" s="10"/>
      <c r="C1006" s="10"/>
    </row>
    <row r="1007">
      <c r="A1007" s="226"/>
      <c r="B1007" s="10"/>
      <c r="C1007" s="10"/>
    </row>
    <row r="1008">
      <c r="A1008" s="226"/>
      <c r="B1008" s="10"/>
      <c r="C1008" s="10"/>
    </row>
    <row r="1009">
      <c r="A1009" s="226"/>
      <c r="B1009" s="10"/>
      <c r="C1009" s="10"/>
    </row>
    <row r="1010">
      <c r="A1010" s="226"/>
      <c r="B1010" s="10"/>
      <c r="C1010" s="10"/>
    </row>
    <row r="1011">
      <c r="A1011" s="226"/>
      <c r="B1011" s="10"/>
      <c r="C1011" s="10"/>
    </row>
    <row r="1012">
      <c r="A1012" s="226"/>
      <c r="B1012" s="10"/>
      <c r="C1012" s="10"/>
    </row>
    <row r="1013">
      <c r="A1013" s="226"/>
      <c r="B1013" s="10"/>
      <c r="C1013" s="10"/>
    </row>
    <row r="1014">
      <c r="A1014" s="226"/>
      <c r="B1014" s="10"/>
      <c r="C1014" s="10"/>
    </row>
    <row r="1015">
      <c r="A1015" s="226"/>
      <c r="B1015" s="10"/>
      <c r="C1015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6.13"/>
    <col customWidth="1" min="3" max="3" width="42.5"/>
  </cols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248" t="s">
        <v>1220</v>
      </c>
      <c r="B2" s="248" t="s">
        <v>1221</v>
      </c>
      <c r="C2" s="248" t="s">
        <v>1222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249" t="s">
        <v>1223</v>
      </c>
      <c r="B3" s="249" t="s">
        <v>1224</v>
      </c>
      <c r="C3" s="249" t="s">
        <v>1225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249" t="s">
        <v>1226</v>
      </c>
      <c r="B4" s="249" t="s">
        <v>1227</v>
      </c>
      <c r="C4" s="249" t="s">
        <v>1228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249" t="s">
        <v>1229</v>
      </c>
      <c r="B5" s="250" t="s">
        <v>1230</v>
      </c>
      <c r="C5" s="249" t="s">
        <v>1231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249" t="s">
        <v>1232</v>
      </c>
      <c r="B6" s="249" t="s">
        <v>1233</v>
      </c>
      <c r="C6" s="250" t="s">
        <v>1234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251"/>
      <c r="B7" s="251"/>
      <c r="C7" s="91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251"/>
      <c r="B8" s="251"/>
      <c r="C8" s="251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drawing r:id="rId1"/>
</worksheet>
</file>